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7A2D7E96-6E34-419A-AE5F-296B3A7E7977}"/>
  <workbookPr codeName="ThisWorkbook"/>
  <bookViews>
    <workbookView xWindow="0" yWindow="0" windowWidth="19560" windowHeight="8340"/>
  </bookViews>
  <sheets>
    <sheet name="Maestros" sheetId="1" r:id="rId1"/>
    <sheet name="Laboratorio" sheetId="5" r:id="rId2"/>
    <sheet name="Plantilla_Horario" sheetId="2" r:id="rId3"/>
    <sheet name="M_3010" sheetId="4" r:id="rId4"/>
  </sheets>
  <definedNames>
    <definedName name="_xlnm._FilterDatabase" localSheetId="0" hidden="1">Maestros!$A$1:$G$163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M52" i="1" l="1"/>
  <c r="M53" i="1"/>
  <c r="M54" i="1"/>
  <c r="M55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L136" i="1"/>
  <c r="L137" i="1"/>
  <c r="L138" i="1"/>
  <c r="L32" i="1"/>
  <c r="L33" i="1"/>
  <c r="L34" i="1"/>
  <c r="L35" i="1"/>
  <c r="L71" i="1"/>
  <c r="L72" i="1"/>
  <c r="L36" i="1"/>
  <c r="L37" i="1"/>
  <c r="L38" i="1"/>
  <c r="L39" i="1"/>
  <c r="L56" i="1"/>
  <c r="L57" i="1"/>
  <c r="L115" i="1"/>
  <c r="L116" i="1"/>
  <c r="L117" i="1"/>
  <c r="L9" i="1"/>
  <c r="L10" i="1"/>
  <c r="L11" i="1"/>
  <c r="L12" i="1"/>
  <c r="L58" i="1"/>
  <c r="L59" i="1"/>
  <c r="L60" i="1"/>
  <c r="L61" i="1"/>
  <c r="L156" i="1"/>
  <c r="L157" i="1"/>
  <c r="L93" i="1"/>
  <c r="L94" i="1"/>
  <c r="L95" i="1"/>
  <c r="L62" i="1"/>
  <c r="L88" i="1"/>
  <c r="L89" i="1"/>
  <c r="L90" i="1"/>
  <c r="L91" i="1"/>
  <c r="L151" i="1"/>
  <c r="L152" i="1"/>
  <c r="L153" i="1"/>
  <c r="L154" i="1"/>
  <c r="L155" i="1"/>
  <c r="L92" i="1"/>
  <c r="L100" i="1"/>
  <c r="L101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02" i="1"/>
  <c r="L103" i="1"/>
  <c r="L104" i="1"/>
  <c r="L158" i="1"/>
  <c r="L40" i="1"/>
  <c r="L41" i="1"/>
  <c r="L163" i="1"/>
  <c r="L69" i="1"/>
  <c r="L70" i="1"/>
  <c r="L43" i="1"/>
  <c r="L44" i="1"/>
  <c r="L45" i="1"/>
  <c r="L107" i="1"/>
  <c r="L108" i="1"/>
  <c r="L109" i="1"/>
  <c r="L110" i="1"/>
  <c r="L111" i="1"/>
  <c r="L112" i="1"/>
  <c r="L113" i="1"/>
  <c r="L114" i="1"/>
  <c r="L52" i="1"/>
  <c r="L53" i="1"/>
  <c r="L42" i="1"/>
  <c r="L54" i="1"/>
  <c r="L13" i="1"/>
  <c r="L161" i="1"/>
  <c r="L162" i="1"/>
  <c r="L17" i="1"/>
  <c r="L18" i="1"/>
  <c r="L19" i="1"/>
  <c r="L20" i="1"/>
  <c r="L21" i="1"/>
  <c r="L22" i="1"/>
  <c r="L23" i="1"/>
  <c r="L24" i="1"/>
  <c r="L74" i="1"/>
  <c r="L75" i="1"/>
  <c r="L76" i="1"/>
  <c r="L77" i="1"/>
  <c r="L78" i="1"/>
  <c r="L79" i="1"/>
  <c r="L80" i="1"/>
  <c r="L81" i="1"/>
  <c r="L82" i="1"/>
  <c r="L83" i="1"/>
  <c r="L25" i="1"/>
  <c r="L6" i="1"/>
  <c r="L7" i="1"/>
  <c r="L8" i="1"/>
  <c r="L26" i="1"/>
  <c r="L27" i="1"/>
  <c r="L50" i="1"/>
  <c r="L73" i="1"/>
  <c r="L124" i="1"/>
  <c r="L125" i="1"/>
  <c r="L126" i="1"/>
  <c r="L55" i="1"/>
  <c r="L14" i="1"/>
  <c r="L15" i="1"/>
  <c r="L63" i="1"/>
  <c r="L64" i="1"/>
  <c r="L65" i="1"/>
  <c r="L66" i="1"/>
  <c r="L96" i="1"/>
  <c r="L97" i="1"/>
  <c r="L98" i="1"/>
  <c r="L99" i="1"/>
  <c r="L28" i="1"/>
  <c r="L29" i="1"/>
  <c r="L30" i="1"/>
  <c r="L31" i="1"/>
  <c r="L48" i="1"/>
  <c r="L49" i="1"/>
  <c r="L67" i="1"/>
  <c r="L68" i="1"/>
  <c r="L127" i="1"/>
  <c r="L128" i="1"/>
  <c r="L129" i="1"/>
  <c r="L130" i="1"/>
  <c r="L118" i="1"/>
  <c r="L119" i="1"/>
  <c r="L120" i="1"/>
  <c r="L121" i="1"/>
  <c r="L122" i="1"/>
  <c r="L123" i="1"/>
  <c r="L131" i="1"/>
  <c r="L132" i="1"/>
  <c r="L133" i="1"/>
  <c r="L134" i="1"/>
  <c r="L135" i="1"/>
  <c r="L159" i="1"/>
  <c r="L160" i="1"/>
  <c r="L16" i="1"/>
  <c r="L2" i="1"/>
  <c r="L3" i="1"/>
  <c r="L4" i="1"/>
  <c r="L5" i="1"/>
  <c r="L51" i="1"/>
  <c r="L46" i="1"/>
  <c r="L47" i="1"/>
  <c r="L84" i="1"/>
  <c r="L85" i="1"/>
  <c r="L86" i="1"/>
  <c r="L87" i="1"/>
  <c r="L105" i="1"/>
  <c r="L106" i="1"/>
  <c r="K137" i="1" l="1"/>
  <c r="K138" i="1"/>
  <c r="K32" i="1"/>
  <c r="K33" i="1"/>
  <c r="K34" i="1"/>
  <c r="K35" i="1"/>
  <c r="K71" i="1"/>
  <c r="K72" i="1"/>
  <c r="K36" i="1"/>
  <c r="K37" i="1"/>
  <c r="K38" i="1"/>
  <c r="K39" i="1"/>
  <c r="K56" i="1"/>
  <c r="K57" i="1"/>
  <c r="K115" i="1"/>
  <c r="K116" i="1"/>
  <c r="K117" i="1"/>
  <c r="K9" i="1"/>
  <c r="K10" i="1"/>
  <c r="K11" i="1"/>
  <c r="K12" i="1"/>
  <c r="K58" i="1"/>
  <c r="K59" i="1"/>
  <c r="K60" i="1"/>
  <c r="K61" i="1"/>
  <c r="K156" i="1"/>
  <c r="K157" i="1"/>
  <c r="K93" i="1"/>
  <c r="K94" i="1"/>
  <c r="K95" i="1"/>
  <c r="K62" i="1"/>
  <c r="K88" i="1"/>
  <c r="K89" i="1"/>
  <c r="K90" i="1"/>
  <c r="K91" i="1"/>
  <c r="K151" i="1"/>
  <c r="K152" i="1"/>
  <c r="K153" i="1"/>
  <c r="K154" i="1"/>
  <c r="K155" i="1"/>
  <c r="K92" i="1"/>
  <c r="K100" i="1"/>
  <c r="K101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02" i="1"/>
  <c r="K103" i="1"/>
  <c r="K104" i="1"/>
  <c r="K158" i="1"/>
  <c r="K40" i="1"/>
  <c r="K41" i="1"/>
  <c r="K163" i="1"/>
  <c r="K69" i="1"/>
  <c r="K70" i="1"/>
  <c r="K43" i="1"/>
  <c r="K44" i="1"/>
  <c r="K45" i="1"/>
  <c r="K107" i="1"/>
  <c r="K108" i="1"/>
  <c r="K109" i="1"/>
  <c r="K110" i="1"/>
  <c r="K111" i="1"/>
  <c r="K112" i="1"/>
  <c r="K113" i="1"/>
  <c r="K114" i="1"/>
  <c r="K52" i="1"/>
  <c r="K53" i="1"/>
  <c r="K42" i="1"/>
  <c r="K54" i="1"/>
  <c r="K13" i="1"/>
  <c r="K161" i="1"/>
  <c r="K162" i="1"/>
  <c r="K17" i="1"/>
  <c r="K18" i="1"/>
  <c r="K19" i="1"/>
  <c r="K20" i="1"/>
  <c r="K21" i="1"/>
  <c r="K22" i="1"/>
  <c r="K23" i="1"/>
  <c r="K24" i="1"/>
  <c r="K74" i="1"/>
  <c r="K75" i="1"/>
  <c r="K76" i="1"/>
  <c r="K77" i="1"/>
  <c r="K78" i="1"/>
  <c r="K79" i="1"/>
  <c r="K80" i="1"/>
  <c r="K81" i="1"/>
  <c r="K82" i="1"/>
  <c r="K83" i="1"/>
  <c r="K25" i="1"/>
  <c r="K6" i="1"/>
  <c r="K7" i="1"/>
  <c r="K8" i="1"/>
  <c r="K26" i="1"/>
  <c r="K27" i="1"/>
  <c r="K50" i="1"/>
  <c r="K73" i="1"/>
  <c r="K124" i="1"/>
  <c r="K125" i="1"/>
  <c r="K126" i="1"/>
  <c r="K55" i="1"/>
  <c r="K14" i="1"/>
  <c r="K15" i="1"/>
  <c r="K63" i="1"/>
  <c r="K64" i="1"/>
  <c r="K65" i="1"/>
  <c r="K66" i="1"/>
  <c r="K96" i="1"/>
  <c r="K97" i="1"/>
  <c r="K98" i="1"/>
  <c r="K99" i="1"/>
  <c r="K28" i="1"/>
  <c r="K29" i="1"/>
  <c r="K30" i="1"/>
  <c r="K31" i="1"/>
  <c r="K48" i="1"/>
  <c r="K49" i="1"/>
  <c r="K67" i="1"/>
  <c r="K68" i="1"/>
  <c r="K127" i="1"/>
  <c r="K128" i="1"/>
  <c r="K129" i="1"/>
  <c r="K130" i="1"/>
  <c r="K118" i="1"/>
  <c r="K119" i="1"/>
  <c r="K120" i="1"/>
  <c r="K121" i="1"/>
  <c r="K122" i="1"/>
  <c r="K123" i="1"/>
  <c r="K131" i="1"/>
  <c r="K132" i="1"/>
  <c r="K133" i="1"/>
  <c r="K134" i="1"/>
  <c r="K135" i="1"/>
  <c r="K159" i="1"/>
  <c r="K160" i="1"/>
  <c r="K16" i="1"/>
  <c r="K2" i="1"/>
  <c r="K3" i="1"/>
  <c r="K4" i="1"/>
  <c r="K5" i="1"/>
  <c r="K51" i="1"/>
  <c r="K46" i="1"/>
  <c r="K47" i="1"/>
  <c r="K84" i="1"/>
  <c r="K85" i="1"/>
  <c r="K86" i="1"/>
  <c r="K87" i="1"/>
  <c r="K105" i="1"/>
  <c r="K106" i="1"/>
  <c r="K136" i="1"/>
</calcChain>
</file>

<file path=xl/sharedStrings.xml><?xml version="1.0" encoding="utf-8"?>
<sst xmlns="http://schemas.openxmlformats.org/spreadsheetml/2006/main" count="972" uniqueCount="168">
  <si>
    <t>NO_CONTROL</t>
  </si>
  <si>
    <t>NOMBRE_PROFESOR</t>
  </si>
  <si>
    <t>ASIGNATURA</t>
  </si>
  <si>
    <t>HORAS</t>
  </si>
  <si>
    <t>GRUPO</t>
  </si>
  <si>
    <t>STATUS</t>
  </si>
  <si>
    <t>TIPO PROFESOR</t>
  </si>
  <si>
    <t>HABILIDADES PARA EL APRENDIZAJE</t>
  </si>
  <si>
    <t>1E</t>
  </si>
  <si>
    <t>ACTIVO</t>
  </si>
  <si>
    <t>HRS</t>
  </si>
  <si>
    <t>TALLER DE LECTURA Y REDACCION I</t>
  </si>
  <si>
    <t>1A</t>
  </si>
  <si>
    <t>LOGICA</t>
  </si>
  <si>
    <t>3H</t>
  </si>
  <si>
    <t>QUIMICA I</t>
  </si>
  <si>
    <t>1D</t>
  </si>
  <si>
    <t>1F</t>
  </si>
  <si>
    <t>1G</t>
  </si>
  <si>
    <t>GEOGRAFIA</t>
  </si>
  <si>
    <t>1C</t>
  </si>
  <si>
    <t>FISICA III</t>
  </si>
  <si>
    <t>5A</t>
  </si>
  <si>
    <t>PTC</t>
  </si>
  <si>
    <t>5B</t>
  </si>
  <si>
    <t>5C</t>
  </si>
  <si>
    <t>5D</t>
  </si>
  <si>
    <t>MATEMATICAS V</t>
  </si>
  <si>
    <t>5E</t>
  </si>
  <si>
    <t>5F</t>
  </si>
  <si>
    <t>1B</t>
  </si>
  <si>
    <t>3A</t>
  </si>
  <si>
    <t>3B</t>
  </si>
  <si>
    <t>3C</t>
  </si>
  <si>
    <t>3D</t>
  </si>
  <si>
    <t>3E</t>
  </si>
  <si>
    <t>3F</t>
  </si>
  <si>
    <t>3G</t>
  </si>
  <si>
    <t>MATEMATICAS III</t>
  </si>
  <si>
    <t>PROCESO DE DATOS I</t>
  </si>
  <si>
    <t>LENGUAJES ALGORITMICOS</t>
  </si>
  <si>
    <t>INTRODUCCION A LAS CIENCIAS COMPUTACIONALES</t>
  </si>
  <si>
    <t>MATEMATICAS I</t>
  </si>
  <si>
    <t>1H</t>
  </si>
  <si>
    <t>INGLES I</t>
  </si>
  <si>
    <t>INTRODUCCION A LAS CIENCIAS SOCIALES</t>
  </si>
  <si>
    <t>ESTETICA</t>
  </si>
  <si>
    <t>5G</t>
  </si>
  <si>
    <t>5H</t>
  </si>
  <si>
    <t>LITERATURA MEXICANA I</t>
  </si>
  <si>
    <t>COORDINADORA ACADEMICA</t>
  </si>
  <si>
    <t>FISICA I</t>
  </si>
  <si>
    <t>DESARROLLO HUMANO</t>
  </si>
  <si>
    <t>RADIO Y TV I</t>
  </si>
  <si>
    <t>TECNOLOGIAS TALLER DE ELECTRONICA III</t>
  </si>
  <si>
    <t>EDUCACION PARA LA SALUD</t>
  </si>
  <si>
    <t>TEMAS SELECTOS DE COMPUTACION</t>
  </si>
  <si>
    <t>INGLES III</t>
  </si>
  <si>
    <t>PROGRAMACION I</t>
  </si>
  <si>
    <t>PROGRAMACION V</t>
  </si>
  <si>
    <t>BASE DE DATOS I</t>
  </si>
  <si>
    <t xml:space="preserve">SISTEMAS OPERATIVOS </t>
  </si>
  <si>
    <t>BIOLOGIA II</t>
  </si>
  <si>
    <t>ELECTRONICA I</t>
  </si>
  <si>
    <t>PROCESADOR I</t>
  </si>
  <si>
    <t>PROBABILIDAD Y ESTADISTICA</t>
  </si>
  <si>
    <t>FILOSOFIA</t>
  </si>
  <si>
    <t>QUIMICA III</t>
  </si>
  <si>
    <t>ETIMOLOGIAS</t>
  </si>
  <si>
    <t>HISTORIA UNIVERSAL</t>
  </si>
  <si>
    <t>HOJA ELECTRONICA II</t>
  </si>
  <si>
    <t>SISTEMAS OPERATIVOS I</t>
  </si>
  <si>
    <t>ANALISIS DE SISTEMAS I</t>
  </si>
  <si>
    <t>BIOLOGIA I</t>
  </si>
  <si>
    <t>LGRA</t>
  </si>
  <si>
    <t>BACHILLERATO TÉCNICO # 2</t>
  </si>
  <si>
    <t>SEMESTRE AGOSTO 2012 - ENERO 2013</t>
  </si>
  <si>
    <t>HORA / DIA</t>
  </si>
  <si>
    <t>LUNES</t>
  </si>
  <si>
    <t>MARTES</t>
  </si>
  <si>
    <t>MIERCOLES</t>
  </si>
  <si>
    <t>JUEVES</t>
  </si>
  <si>
    <t>VIERNES</t>
  </si>
  <si>
    <t>1:30 - 2:10</t>
  </si>
  <si>
    <t>2:10 - 2:50</t>
  </si>
  <si>
    <t>2:50 - 3:30</t>
  </si>
  <si>
    <t>3:50 - 4:30</t>
  </si>
  <si>
    <t>4:30 - 5:10</t>
  </si>
  <si>
    <t>5:10 - 5:50</t>
  </si>
  <si>
    <t>5:50 - 6:35</t>
  </si>
  <si>
    <t>6:35 - 7:20</t>
  </si>
  <si>
    <t>[Nombre del Maestro o Grupo]</t>
  </si>
  <si>
    <t>HorasRestantes</t>
  </si>
  <si>
    <t>IDMateria</t>
  </si>
  <si>
    <t>HPA</t>
  </si>
  <si>
    <t>12:50 - 1:30</t>
  </si>
  <si>
    <t>Hora de Inicio</t>
  </si>
  <si>
    <t>x</t>
  </si>
  <si>
    <t>HorasClase</t>
  </si>
  <si>
    <t>TLYR I</t>
  </si>
  <si>
    <t>LOG</t>
  </si>
  <si>
    <t>QUIM I</t>
  </si>
  <si>
    <t>GEO</t>
  </si>
  <si>
    <t>FIS III</t>
  </si>
  <si>
    <t>MAT V</t>
  </si>
  <si>
    <t>MAT III</t>
  </si>
  <si>
    <t>PD I</t>
  </si>
  <si>
    <t>PROC I</t>
  </si>
  <si>
    <t>LA</t>
  </si>
  <si>
    <t>ICC</t>
  </si>
  <si>
    <t>MAT I</t>
  </si>
  <si>
    <t>ING I</t>
  </si>
  <si>
    <t>ICS</t>
  </si>
  <si>
    <t>EST</t>
  </si>
  <si>
    <t>LM I</t>
  </si>
  <si>
    <t>FIS I</t>
  </si>
  <si>
    <t>DH</t>
  </si>
  <si>
    <t>TECNOLOGIAS TALLER DE ELECTRONICA I</t>
  </si>
  <si>
    <t>TTE I</t>
  </si>
  <si>
    <t>RYTV I</t>
  </si>
  <si>
    <t>TTE III</t>
  </si>
  <si>
    <t>TECNOLOGIAS DE LA INFORMACION I</t>
  </si>
  <si>
    <t>TI I</t>
  </si>
  <si>
    <t>EPS</t>
  </si>
  <si>
    <t>TSC</t>
  </si>
  <si>
    <t>ING III</t>
  </si>
  <si>
    <t>PROG I</t>
  </si>
  <si>
    <t>PROG V</t>
  </si>
  <si>
    <t>BD I</t>
  </si>
  <si>
    <t>SO</t>
  </si>
  <si>
    <t>BIO II</t>
  </si>
  <si>
    <t>ELECT I</t>
  </si>
  <si>
    <t>PYE</t>
  </si>
  <si>
    <t>FILOS</t>
  </si>
  <si>
    <t>QUIM III</t>
  </si>
  <si>
    <t>ETIM</t>
  </si>
  <si>
    <t>HIST</t>
  </si>
  <si>
    <t>HE II</t>
  </si>
  <si>
    <t>SO I</t>
  </si>
  <si>
    <t>AS I</t>
  </si>
  <si>
    <t>BIO I</t>
  </si>
  <si>
    <t>Laboratorio</t>
  </si>
  <si>
    <t>Materia</t>
  </si>
  <si>
    <t>Módulo Norte</t>
  </si>
  <si>
    <t>TECNOLOGIAS DE LA INFORMACION II</t>
  </si>
  <si>
    <t>LaboratorioB</t>
  </si>
  <si>
    <t>Módulo Sur</t>
  </si>
  <si>
    <t>L. de Biología</t>
  </si>
  <si>
    <t>T. de Electrónica</t>
  </si>
  <si>
    <t>L. de Física</t>
  </si>
  <si>
    <t>FISICA II</t>
  </si>
  <si>
    <t>HOJA ELECTRONICA I</t>
  </si>
  <si>
    <t>PROGRAMACION II</t>
  </si>
  <si>
    <t>PROGRAMACION III</t>
  </si>
  <si>
    <t>L. de Química</t>
  </si>
  <si>
    <t>QUIMICA II</t>
  </si>
  <si>
    <t>TECNOLOGIAS TALLER DE ELECTRONICA II</t>
  </si>
  <si>
    <t>ID</t>
  </si>
  <si>
    <t>LB</t>
  </si>
  <si>
    <t>LF</t>
  </si>
  <si>
    <t>LQ</t>
  </si>
  <si>
    <t>MN</t>
  </si>
  <si>
    <t>MS</t>
  </si>
  <si>
    <t>TE</t>
  </si>
  <si>
    <t>HorasLaboratorio</t>
  </si>
  <si>
    <t>HorasPorBloques</t>
  </si>
  <si>
    <t>LabAlternativo</t>
  </si>
  <si>
    <t>Prioridad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</si>
</sst>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name val="Arial"/>
    </font>
    <font>
      <b/>
      <u/>
      <sz val="16"/>
      <name val="Arial Unicode MS"/>
      <family val="2"/>
    </font>
    <font>
      <b/>
      <sz val="12"/>
      <name val="Arial Unicode MS"/>
      <family val="2"/>
    </font>
    <font>
      <b/>
      <sz val="16"/>
      <name val="Arial Unicode MS"/>
      <family val="2"/>
    </font>
    <font>
      <b/>
      <sz val="9"/>
      <name val="Arial Unicode MS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2" fillId="0" borderId="0" xfId="1" applyFont="1" applyAlignment="1">
      <alignment vertical="center"/>
    </xf>
    <xf numFmtId="0" fontId="3" fillId="0" borderId="0" xfId="1" applyFont="1" applyAlignment="1">
      <alignment vertical="center"/>
    </xf>
    <xf numFmtId="0" fontId="4" fillId="0" borderId="0" xfId="1" applyFont="1" applyBorder="1" applyAlignment="1">
      <alignment vertical="center"/>
    </xf>
    <xf numFmtId="0" fontId="5" fillId="5" borderId="1" xfId="1" applyFont="1" applyFill="1" applyBorder="1" applyAlignment="1">
      <alignment horizontal="center" vertical="center"/>
    </xf>
    <xf numFmtId="0" fontId="5" fillId="0" borderId="5" xfId="1" applyFont="1" applyFill="1" applyBorder="1" applyAlignment="1">
      <alignment horizontal="center" vertical="center"/>
    </xf>
    <xf numFmtId="0" fontId="5" fillId="0" borderId="7" xfId="1" applyFont="1" applyFill="1" applyBorder="1" applyAlignment="1">
      <alignment horizontal="center" vertical="center"/>
    </xf>
    <xf numFmtId="0" fontId="5" fillId="0" borderId="8" xfId="1" applyFont="1" applyFill="1" applyBorder="1" applyAlignment="1">
      <alignment horizontal="center" vertical="center"/>
    </xf>
    <xf numFmtId="0" fontId="0" fillId="0" borderId="2" xfId="0" applyBorder="1"/>
    <xf numFmtId="0" fontId="0" fillId="0" borderId="4" xfId="0" applyBorder="1"/>
    <xf numFmtId="0" fontId="5" fillId="5" borderId="9" xfId="1" applyFont="1" applyFill="1" applyBorder="1" applyAlignment="1">
      <alignment horizontal="center" vertical="center"/>
    </xf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5" fillId="5" borderId="12" xfId="1" applyFont="1" applyFill="1" applyBorder="1" applyAlignment="1">
      <alignment horizontal="center" vertical="center"/>
    </xf>
    <xf numFmtId="0" fontId="0" fillId="0" borderId="3" xfId="0" applyBorder="1"/>
    <xf numFmtId="0" fontId="0" fillId="0" borderId="6" xfId="0" applyBorder="1"/>
    <xf numFmtId="0" fontId="0" fillId="0" borderId="0" xfId="0" applyFont="1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0" fillId="4" borderId="0" xfId="0" applyFill="1" applyAlignment="1">
      <alignment wrapText="1"/>
    </xf>
    <xf numFmtId="0" fontId="0" fillId="6" borderId="0" xfId="0" applyFill="1" applyAlignment="1">
      <alignment horizontal="center"/>
    </xf>
    <xf numFmtId="0" fontId="0" fillId="6" borderId="0" xfId="0" applyFill="1" applyAlignment="1">
      <alignment wrapText="1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 applyAlignment="1">
      <alignment wrapText="1"/>
    </xf>
    <xf numFmtId="0" fontId="0" fillId="7" borderId="0" xfId="0" applyFill="1"/>
  </cellXfs>
  <cellStyles count="2">
    <cellStyle name="Normal" xfId="0" builtinId="0"/>
    <cellStyle name="Normal 2" xfId="1"/>
  </cellStyles>
  <dxfs count="12">
    <dxf>
      <numFmt numFmtId="0" formatCode="General"/>
      <fill>
        <patternFill patternType="solid">
          <fgColor indexed="64"/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  <fill>
        <patternFill patternType="solid">
          <fgColor indexed="64"/>
          <bgColor rgb="FF92D050"/>
        </patternFill>
      </fill>
    </dxf>
    <dxf>
      <numFmt numFmtId="0" formatCode="General"/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DatosMaestros" displayName="tDatosMaestros" ref="A1:O163" totalsRowShown="0">
  <autoFilter ref="A1:O163"/>
  <sortState ref="A2:O163">
    <sortCondition descending="1" ref="O2:O163"/>
    <sortCondition descending="1" ref="L2:L163"/>
    <sortCondition ref="A2:A163"/>
  </sortState>
  <tableColumns count="15">
    <tableColumn id="1" name="NO_CONTROL" dataDxfId="10"/>
    <tableColumn id="2" name="NOMBRE_PROFESOR" dataDxfId="0">
      <calculatedColumnFormula>"Nombre maestro "&amp;tDatosMaestros[[#This Row],[NO_CONTROL]]</calculatedColumnFormula>
    </tableColumn>
    <tableColumn id="3" name="ASIGNATURA" dataDxfId="9"/>
    <tableColumn id="4" name="HORAS" dataDxfId="8"/>
    <tableColumn id="5" name="GRUPO" dataDxfId="7"/>
    <tableColumn id="6" name="STATUS" dataDxfId="6"/>
    <tableColumn id="7" name="TIPO PROFESOR" dataDxfId="5"/>
    <tableColumn id="10" name="IDMateria"/>
    <tableColumn id="12" name="HorasClase"/>
    <tableColumn id="13" name="HorasLaboratorio"/>
    <tableColumn id="11" name="Hora de Inicio" dataDxfId="4">
      <calculatedColumnFormula>IF(tDatosMaestros[[#This Row],[TIPO PROFESOR]]="HRS", 3,2)</calculatedColumnFormula>
    </tableColumn>
    <tableColumn id="8" name="Laboratorio" dataDxfId="3">
      <calculatedColumnFormula>_xlfn.IFNA( INDEX(LaboratoriosID[ID], MATCH( INDEX(LaboratoriosMaterias[Laboratorio], MATCH(tDatosMaestros[[#This Row],[ASIGNATURA]],LaboratoriosMaterias[Materia],0)), LaboratoriosID[Laboratorio],0)), "")</calculatedColumnFormula>
    </tableColumn>
    <tableColumn id="15" name="LabAlternativo" dataDxfId="2">
      <calculatedColumnFormula>_xlfn.IFNA( INDEX(LaboratoriosID[ID], MATCH( INDEX(LaboratoriosMaterias[LaboratorioB], MATCH(tDatosMaestros[[#This Row],[ASIGNATURA]],LaboratoriosMaterias[Materia],0)), LaboratoriosID[Laboratorio],0)), "")</calculatedColumnFormula>
    </tableColumn>
    <tableColumn id="9" name="HorasRestantes"/>
    <tableColumn id="16" name="Prioridad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2" name="LaboratoriosMaterias" displayName="LaboratoriosMaterias" ref="A1:D31" totalsRowShown="0">
  <autoFilter ref="A1:D31"/>
  <sortState ref="A2:D31">
    <sortCondition ref="A19"/>
  </sortState>
  <tableColumns count="4">
    <tableColumn id="1" name="Materia"/>
    <tableColumn id="4" name="HorasPorBloques"/>
    <tableColumn id="2" name="Laboratorio"/>
    <tableColumn id="3" name="LaboratorioB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3" name="LaboratoriosID" displayName="LaboratoriosID" ref="G1:H7" totalsRowShown="0">
  <autoFilter ref="G1:H7"/>
  <tableColumns count="2">
    <tableColumn id="1" name="Laboratorio" dataDxfId="1"/>
    <tableColumn id="2" name="ID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O163"/>
  <sheetViews>
    <sheetView tabSelected="1" zoomScaleNormal="100" workbookViewId="0">
      <pane ySplit="1" topLeftCell="A2" activePane="bottomLeft" state="frozen"/>
      <selection pane="bottomLeft" activeCell="B10" sqref="B10"/>
    </sheetView>
  </sheetViews>
  <sheetFormatPr baseColWidth="10" defaultRowHeight="15" x14ac:dyDescent="0.25"/>
  <cols>
    <col min="1" max="1" width="15.5703125" style="1" bestFit="1" customWidth="1"/>
    <col min="2" max="2" width="39.7109375" bestFit="1" customWidth="1"/>
    <col min="3" max="3" width="47.85546875" bestFit="1" customWidth="1"/>
    <col min="4" max="4" width="11.7109375" style="1" bestFit="1" customWidth="1"/>
    <col min="5" max="5" width="11.85546875" style="1" bestFit="1" customWidth="1"/>
    <col min="6" max="6" width="9.85546875" bestFit="1" customWidth="1"/>
    <col min="7" max="7" width="14.85546875" customWidth="1"/>
    <col min="9" max="9" width="13" bestFit="1" customWidth="1"/>
    <col min="10" max="10" width="18.5703125" bestFit="1" customWidth="1"/>
    <col min="11" max="11" width="15.42578125" bestFit="1" customWidth="1"/>
    <col min="12" max="12" width="6.28515625" customWidth="1"/>
    <col min="14" max="14" width="7.5703125" customWidth="1"/>
    <col min="16" max="16" width="15.42578125" bestFit="1" customWidth="1"/>
  </cols>
  <sheetData>
    <row r="1" spans="1:15" x14ac:dyDescent="0.25">
      <c r="A1" s="1" t="s">
        <v>0</v>
      </c>
      <c r="B1" t="s">
        <v>1</v>
      </c>
      <c r="C1" t="s">
        <v>2</v>
      </c>
      <c r="D1" s="1" t="s">
        <v>3</v>
      </c>
      <c r="E1" s="1" t="s">
        <v>4</v>
      </c>
      <c r="F1" t="s">
        <v>5</v>
      </c>
      <c r="G1" t="s">
        <v>6</v>
      </c>
      <c r="H1" t="s">
        <v>93</v>
      </c>
      <c r="I1" t="s">
        <v>98</v>
      </c>
      <c r="J1" t="s">
        <v>164</v>
      </c>
      <c r="K1" t="s">
        <v>96</v>
      </c>
      <c r="L1" t="s">
        <v>141</v>
      </c>
      <c r="M1" t="s">
        <v>166</v>
      </c>
      <c r="N1" t="s">
        <v>92</v>
      </c>
      <c r="O1" t="s">
        <v>167</v>
      </c>
    </row>
    <row r="2" spans="1:15" x14ac:dyDescent="0.25">
      <c r="A2" s="30">
        <v>3010</v>
      </c>
      <c r="B2" s="31" t="str">
        <f>"Nombre maestro "&amp;tDatosMaestros[[#This Row],[NO_CONTROL]]</f>
        <v>Nombre maestro 3010</v>
      </c>
      <c r="C2" s="31" t="s">
        <v>70</v>
      </c>
      <c r="D2" s="30">
        <v>5</v>
      </c>
      <c r="E2" s="30" t="s">
        <v>24</v>
      </c>
      <c r="F2" s="32" t="s">
        <v>9</v>
      </c>
      <c r="G2" s="32" t="s">
        <v>10</v>
      </c>
      <c r="H2" s="32" t="s">
        <v>137</v>
      </c>
      <c r="I2" s="32">
        <v>3</v>
      </c>
      <c r="J2" s="32">
        <v>2</v>
      </c>
      <c r="K2" s="3">
        <f>IF(tDatosMaestros[[#This Row],[TIPO PROFESOR]]="HRS", 3,2)</f>
        <v>3</v>
      </c>
      <c r="L2" t="str">
        <f>_xlfn.IFNA( INDEX(LaboratoriosID[ID], MATCH( INDEX(LaboratoriosMaterias[Laboratorio], MATCH(tDatosMaestros[[#This Row],[ASIGNATURA]],LaboratoriosMaterias[Materia],0)), LaboratoriosID[Laboratorio],0)), "")</f>
        <v>MS</v>
      </c>
      <c r="M2" t="str">
        <f>_xlfn.IFNA( INDEX(LaboratoriosID[ID], MATCH( INDEX(LaboratoriosMaterias[LaboratorioB], MATCH(tDatosMaestros[[#This Row],[ASIGNATURA]],LaboratoriosMaterias[Materia],0)), LaboratoriosID[Laboratorio],0)), "")</f>
        <v>MN</v>
      </c>
      <c r="N2">
        <v>0</v>
      </c>
      <c r="O2">
        <v>10</v>
      </c>
    </row>
    <row r="3" spans="1:15" x14ac:dyDescent="0.25">
      <c r="A3" s="30">
        <v>3010</v>
      </c>
      <c r="B3" s="31" t="str">
        <f>"Nombre maestro "&amp;tDatosMaestros[[#This Row],[NO_CONTROL]]</f>
        <v>Nombre maestro 3010</v>
      </c>
      <c r="C3" s="31" t="s">
        <v>70</v>
      </c>
      <c r="D3" s="30">
        <v>5</v>
      </c>
      <c r="E3" s="30" t="s">
        <v>26</v>
      </c>
      <c r="F3" s="32" t="s">
        <v>9</v>
      </c>
      <c r="G3" s="32" t="s">
        <v>10</v>
      </c>
      <c r="H3" s="32" t="s">
        <v>137</v>
      </c>
      <c r="I3" s="32">
        <v>3</v>
      </c>
      <c r="J3" s="32">
        <v>2</v>
      </c>
      <c r="K3" s="3">
        <f>IF(tDatosMaestros[[#This Row],[TIPO PROFESOR]]="HRS", 3,2)</f>
        <v>3</v>
      </c>
      <c r="L3" t="str">
        <f>_xlfn.IFNA( INDEX(LaboratoriosID[ID], MATCH( INDEX(LaboratoriosMaterias[Laboratorio], MATCH(tDatosMaestros[[#This Row],[ASIGNATURA]],LaboratoriosMaterias[Materia],0)), LaboratoriosID[Laboratorio],0)), "")</f>
        <v>MS</v>
      </c>
      <c r="M3" t="str">
        <f>_xlfn.IFNA( INDEX(LaboratoriosID[ID], MATCH( INDEX(LaboratoriosMaterias[LaboratorioB], MATCH(tDatosMaestros[[#This Row],[ASIGNATURA]],LaboratoriosMaterias[Materia],0)), LaboratoriosID[Laboratorio],0)), "")</f>
        <v>MN</v>
      </c>
      <c r="N3">
        <v>0</v>
      </c>
      <c r="O3">
        <v>10</v>
      </c>
    </row>
    <row r="4" spans="1:15" x14ac:dyDescent="0.25">
      <c r="A4" s="30">
        <v>3010</v>
      </c>
      <c r="B4" s="31" t="str">
        <f>"Nombre maestro "&amp;tDatosMaestros[[#This Row],[NO_CONTROL]]</f>
        <v>Nombre maestro 3010</v>
      </c>
      <c r="C4" s="31" t="s">
        <v>71</v>
      </c>
      <c r="D4" s="30">
        <v>4</v>
      </c>
      <c r="E4" s="30" t="s">
        <v>25</v>
      </c>
      <c r="F4" s="32" t="s">
        <v>9</v>
      </c>
      <c r="G4" s="32" t="s">
        <v>10</v>
      </c>
      <c r="H4" s="32" t="s">
        <v>138</v>
      </c>
      <c r="I4" s="32">
        <v>2</v>
      </c>
      <c r="J4" s="32">
        <v>2</v>
      </c>
      <c r="K4" s="3">
        <f>IF(tDatosMaestros[[#This Row],[TIPO PROFESOR]]="HRS", 3,2)</f>
        <v>3</v>
      </c>
      <c r="L4" t="str">
        <f>_xlfn.IFNA( INDEX(LaboratoriosID[ID], MATCH( INDEX(LaboratoriosMaterias[Laboratorio], MATCH(tDatosMaestros[[#This Row],[ASIGNATURA]],LaboratoriosMaterias[Materia],0)), LaboratoriosID[Laboratorio],0)), "")</f>
        <v>MS</v>
      </c>
      <c r="M4" t="str">
        <f>_xlfn.IFNA( INDEX(LaboratoriosID[ID], MATCH( INDEX(LaboratoriosMaterias[LaboratorioB], MATCH(tDatosMaestros[[#This Row],[ASIGNATURA]],LaboratoriosMaterias[Materia],0)), LaboratoriosID[Laboratorio],0)), "")</f>
        <v/>
      </c>
      <c r="N4">
        <v>0</v>
      </c>
      <c r="O4">
        <v>10</v>
      </c>
    </row>
    <row r="5" spans="1:15" x14ac:dyDescent="0.25">
      <c r="A5" s="30">
        <v>3010</v>
      </c>
      <c r="B5" s="31" t="str">
        <f>"Nombre maestro "&amp;tDatosMaestros[[#This Row],[NO_CONTROL]]</f>
        <v>Nombre maestro 3010</v>
      </c>
      <c r="C5" s="31" t="s">
        <v>72</v>
      </c>
      <c r="D5" s="30">
        <v>4</v>
      </c>
      <c r="E5" s="30" t="s">
        <v>25</v>
      </c>
      <c r="F5" s="32" t="s">
        <v>9</v>
      </c>
      <c r="G5" s="32" t="s">
        <v>10</v>
      </c>
      <c r="H5" s="32" t="s">
        <v>139</v>
      </c>
      <c r="I5" s="32">
        <v>2</v>
      </c>
      <c r="J5" s="32">
        <v>2</v>
      </c>
      <c r="K5" s="3">
        <f>IF(tDatosMaestros[[#This Row],[TIPO PROFESOR]]="HRS", 3,2)</f>
        <v>3</v>
      </c>
      <c r="L5" t="str">
        <f>_xlfn.IFNA( INDEX(LaboratoriosID[ID], MATCH( INDEX(LaboratoriosMaterias[Laboratorio], MATCH(tDatosMaestros[[#This Row],[ASIGNATURA]],LaboratoriosMaterias[Materia],0)), LaboratoriosID[Laboratorio],0)), "")</f>
        <v>MS</v>
      </c>
      <c r="M5" t="str">
        <f>_xlfn.IFNA( INDEX(LaboratoriosID[ID], MATCH( INDEX(LaboratoriosMaterias[LaboratorioB], MATCH(tDatosMaestros[[#This Row],[ASIGNATURA]],LaboratoriosMaterias[Materia],0)), LaboratoriosID[Laboratorio],0)), "")</f>
        <v/>
      </c>
      <c r="N5">
        <v>0</v>
      </c>
      <c r="O5">
        <v>10</v>
      </c>
    </row>
    <row r="6" spans="1:15" x14ac:dyDescent="0.25">
      <c r="A6" s="2">
        <v>5707</v>
      </c>
      <c r="B6" s="25" t="str">
        <f>"Nombre maestro "&amp;tDatosMaestros[[#This Row],[NO_CONTROL]]</f>
        <v>Nombre maestro 5707</v>
      </c>
      <c r="C6" s="25" t="s">
        <v>59</v>
      </c>
      <c r="D6" s="2">
        <v>5</v>
      </c>
      <c r="E6" s="2" t="s">
        <v>25</v>
      </c>
      <c r="F6" s="3" t="s">
        <v>9</v>
      </c>
      <c r="G6" s="3" t="s">
        <v>23</v>
      </c>
      <c r="H6" t="s">
        <v>127</v>
      </c>
      <c r="I6">
        <v>3</v>
      </c>
      <c r="J6">
        <v>2</v>
      </c>
      <c r="K6">
        <f>IF(tDatosMaestros[[#This Row],[TIPO PROFESOR]]="HRS", 3,2)</f>
        <v>2</v>
      </c>
      <c r="L6" t="str">
        <f>_xlfn.IFNA( INDEX(LaboratoriosID[ID], MATCH( INDEX(LaboratoriosMaterias[Laboratorio], MATCH(tDatosMaestros[[#This Row],[ASIGNATURA]],LaboratoriosMaterias[Materia],0)), LaboratoriosID[Laboratorio],0)), "")</f>
        <v>MS</v>
      </c>
      <c r="M6" t="str">
        <f>_xlfn.IFNA( INDEX(LaboratoriosID[ID], MATCH( INDEX(LaboratoriosMaterias[LaboratorioB], MATCH(tDatosMaestros[[#This Row],[ASIGNATURA]],LaboratoriosMaterias[Materia],0)), LaboratoriosID[Laboratorio],0)), "")</f>
        <v>MN</v>
      </c>
      <c r="N6">
        <v>0</v>
      </c>
      <c r="O6">
        <v>10</v>
      </c>
    </row>
    <row r="7" spans="1:15" x14ac:dyDescent="0.25">
      <c r="A7" s="2">
        <v>5707</v>
      </c>
      <c r="B7" s="25" t="str">
        <f>"Nombre maestro "&amp;tDatosMaestros[[#This Row],[NO_CONTROL]]</f>
        <v>Nombre maestro 5707</v>
      </c>
      <c r="C7" s="25" t="s">
        <v>60</v>
      </c>
      <c r="D7" s="2">
        <v>5</v>
      </c>
      <c r="E7" s="2" t="s">
        <v>24</v>
      </c>
      <c r="F7" s="3" t="s">
        <v>9</v>
      </c>
      <c r="G7" s="3" t="s">
        <v>23</v>
      </c>
      <c r="H7" t="s">
        <v>128</v>
      </c>
      <c r="I7">
        <v>3</v>
      </c>
      <c r="J7">
        <v>2</v>
      </c>
      <c r="K7">
        <f>IF(tDatosMaestros[[#This Row],[TIPO PROFESOR]]="HRS", 3,2)</f>
        <v>2</v>
      </c>
      <c r="L7" t="str">
        <f>_xlfn.IFNA( INDEX(LaboratoriosID[ID], MATCH( INDEX(LaboratoriosMaterias[Laboratorio], MATCH(tDatosMaestros[[#This Row],[ASIGNATURA]],LaboratoriosMaterias[Materia],0)), LaboratoriosID[Laboratorio],0)), "")</f>
        <v>MS</v>
      </c>
      <c r="M7" t="str">
        <f>_xlfn.IFNA( INDEX(LaboratoriosID[ID], MATCH( INDEX(LaboratoriosMaterias[LaboratorioB], MATCH(tDatosMaestros[[#This Row],[ASIGNATURA]],LaboratoriosMaterias[Materia],0)), LaboratoriosID[Laboratorio],0)), "")</f>
        <v/>
      </c>
      <c r="N7">
        <v>0</v>
      </c>
      <c r="O7">
        <v>10</v>
      </c>
    </row>
    <row r="8" spans="1:15" x14ac:dyDescent="0.25">
      <c r="A8" s="2">
        <v>5707</v>
      </c>
      <c r="B8" s="25" t="str">
        <f>"Nombre maestro "&amp;tDatosMaestros[[#This Row],[NO_CONTROL]]</f>
        <v>Nombre maestro 5707</v>
      </c>
      <c r="C8" s="25" t="s">
        <v>60</v>
      </c>
      <c r="D8" s="2">
        <v>5</v>
      </c>
      <c r="E8" s="2" t="s">
        <v>26</v>
      </c>
      <c r="F8" s="3" t="s">
        <v>9</v>
      </c>
      <c r="G8" s="3" t="s">
        <v>23</v>
      </c>
      <c r="H8" t="s">
        <v>128</v>
      </c>
      <c r="I8">
        <v>3</v>
      </c>
      <c r="J8">
        <v>2</v>
      </c>
      <c r="K8">
        <f>IF(tDatosMaestros[[#This Row],[TIPO PROFESOR]]="HRS", 3,2)</f>
        <v>2</v>
      </c>
      <c r="L8" t="str">
        <f>_xlfn.IFNA( INDEX(LaboratoriosID[ID], MATCH( INDEX(LaboratoriosMaterias[Laboratorio], MATCH(tDatosMaestros[[#This Row],[ASIGNATURA]],LaboratoriosMaterias[Materia],0)), LaboratoriosID[Laboratorio],0)), "")</f>
        <v>MS</v>
      </c>
      <c r="M8" t="str">
        <f>_xlfn.IFNA( INDEX(LaboratoriosID[ID], MATCH( INDEX(LaboratoriosMaterias[LaboratorioB], MATCH(tDatosMaestros[[#This Row],[ASIGNATURA]],LaboratoriosMaterias[Materia],0)), LaboratoriosID[Laboratorio],0)), "")</f>
        <v/>
      </c>
      <c r="N8">
        <v>0</v>
      </c>
      <c r="O8">
        <v>10</v>
      </c>
    </row>
    <row r="9" spans="1:15" x14ac:dyDescent="0.25">
      <c r="A9" s="1">
        <v>194</v>
      </c>
      <c r="B9" s="24" t="str">
        <f>"Nombre maestro "&amp;tDatosMaestros[[#This Row],[NO_CONTROL]]</f>
        <v>Nombre maestro 194</v>
      </c>
      <c r="C9" s="24" t="s">
        <v>39</v>
      </c>
      <c r="D9" s="1">
        <v>4</v>
      </c>
      <c r="E9" s="1" t="s">
        <v>33</v>
      </c>
      <c r="F9" t="s">
        <v>9</v>
      </c>
      <c r="G9" t="s">
        <v>10</v>
      </c>
      <c r="H9" t="s">
        <v>106</v>
      </c>
      <c r="I9">
        <v>2</v>
      </c>
      <c r="J9">
        <v>2</v>
      </c>
      <c r="K9">
        <f>IF(tDatosMaestros[[#This Row],[TIPO PROFESOR]]="HRS", 3,2)</f>
        <v>3</v>
      </c>
      <c r="L9" t="str">
        <f>_xlfn.IFNA( INDEX(LaboratoriosID[ID], MATCH( INDEX(LaboratoriosMaterias[Laboratorio], MATCH(tDatosMaestros[[#This Row],[ASIGNATURA]],LaboratoriosMaterias[Materia],0)), LaboratoriosID[Laboratorio],0)), "")</f>
        <v>MN</v>
      </c>
      <c r="M9" t="str">
        <f>_xlfn.IFNA( INDEX(LaboratoriosID[ID], MATCH( INDEX(LaboratoriosMaterias[LaboratorioB], MATCH(tDatosMaestros[[#This Row],[ASIGNATURA]],LaboratoriosMaterias[Materia],0)), LaboratoriosID[Laboratorio],0)), "")</f>
        <v>MS</v>
      </c>
      <c r="N9">
        <v>0</v>
      </c>
      <c r="O9">
        <v>10</v>
      </c>
    </row>
    <row r="10" spans="1:15" x14ac:dyDescent="0.25">
      <c r="A10" s="1">
        <v>194</v>
      </c>
      <c r="B10" s="24" t="str">
        <f>"Nombre maestro "&amp;tDatosMaestros[[#This Row],[NO_CONTROL]]</f>
        <v>Nombre maestro 194</v>
      </c>
      <c r="C10" s="24" t="s">
        <v>64</v>
      </c>
      <c r="D10" s="1">
        <v>5</v>
      </c>
      <c r="E10" s="1" t="s">
        <v>32</v>
      </c>
      <c r="F10" t="s">
        <v>9</v>
      </c>
      <c r="G10" t="s">
        <v>10</v>
      </c>
      <c r="H10" t="s">
        <v>107</v>
      </c>
      <c r="I10">
        <v>3</v>
      </c>
      <c r="J10">
        <v>2</v>
      </c>
      <c r="K10">
        <f>IF(tDatosMaestros[[#This Row],[TIPO PROFESOR]]="HRS", 3,2)</f>
        <v>3</v>
      </c>
      <c r="L10" t="str">
        <f>_xlfn.IFNA( INDEX(LaboratoriosID[ID], MATCH( INDEX(LaboratoriosMaterias[Laboratorio], MATCH(tDatosMaestros[[#This Row],[ASIGNATURA]],LaboratoriosMaterias[Materia],0)), LaboratoriosID[Laboratorio],0)), "")</f>
        <v>MN</v>
      </c>
      <c r="M10" t="str">
        <f>_xlfn.IFNA( INDEX(LaboratoriosID[ID], MATCH( INDEX(LaboratoriosMaterias[LaboratorioB], MATCH(tDatosMaestros[[#This Row],[ASIGNATURA]],LaboratoriosMaterias[Materia],0)), LaboratoriosID[Laboratorio],0)), "")</f>
        <v>MS</v>
      </c>
      <c r="N10">
        <v>0</v>
      </c>
      <c r="O10">
        <v>10</v>
      </c>
    </row>
    <row r="11" spans="1:15" x14ac:dyDescent="0.25">
      <c r="A11" s="1">
        <v>194</v>
      </c>
      <c r="B11" s="24" t="str">
        <f>"Nombre maestro "&amp;tDatosMaestros[[#This Row],[NO_CONTROL]]</f>
        <v>Nombre maestro 194</v>
      </c>
      <c r="C11" s="24" t="s">
        <v>40</v>
      </c>
      <c r="D11" s="1">
        <v>4</v>
      </c>
      <c r="E11" s="1" t="s">
        <v>33</v>
      </c>
      <c r="F11" t="s">
        <v>9</v>
      </c>
      <c r="G11" t="s">
        <v>10</v>
      </c>
      <c r="H11" t="s">
        <v>108</v>
      </c>
      <c r="I11">
        <v>2</v>
      </c>
      <c r="J11">
        <v>2</v>
      </c>
      <c r="K11">
        <f>IF(tDatosMaestros[[#This Row],[TIPO PROFESOR]]="HRS", 3,2)</f>
        <v>3</v>
      </c>
      <c r="L11" t="str">
        <f>_xlfn.IFNA( INDEX(LaboratoriosID[ID], MATCH( INDEX(LaboratoriosMaterias[Laboratorio], MATCH(tDatosMaestros[[#This Row],[ASIGNATURA]],LaboratoriosMaterias[Materia],0)), LaboratoriosID[Laboratorio],0)), "")</f>
        <v>MN</v>
      </c>
      <c r="M11" t="str">
        <f>_xlfn.IFNA( INDEX(LaboratoriosID[ID], MATCH( INDEX(LaboratoriosMaterias[LaboratorioB], MATCH(tDatosMaestros[[#This Row],[ASIGNATURA]],LaboratoriosMaterias[Materia],0)), LaboratoriosID[Laboratorio],0)), "")</f>
        <v>MS</v>
      </c>
      <c r="N11">
        <v>0</v>
      </c>
      <c r="O11">
        <v>10</v>
      </c>
    </row>
    <row r="12" spans="1:15" x14ac:dyDescent="0.25">
      <c r="A12" s="1">
        <v>194</v>
      </c>
      <c r="B12" s="24" t="str">
        <f>"Nombre maestro "&amp;tDatosMaestros[[#This Row],[NO_CONTROL]]</f>
        <v>Nombre maestro 194</v>
      </c>
      <c r="C12" s="24" t="s">
        <v>41</v>
      </c>
      <c r="D12" s="1">
        <v>4</v>
      </c>
      <c r="E12" s="1" t="s">
        <v>34</v>
      </c>
      <c r="F12" t="s">
        <v>9</v>
      </c>
      <c r="G12" t="s">
        <v>10</v>
      </c>
      <c r="H12" t="s">
        <v>109</v>
      </c>
      <c r="I12">
        <v>2</v>
      </c>
      <c r="J12">
        <v>2</v>
      </c>
      <c r="K12">
        <f>IF(tDatosMaestros[[#This Row],[TIPO PROFESOR]]="HRS", 3,2)</f>
        <v>3</v>
      </c>
      <c r="L12" t="str">
        <f>_xlfn.IFNA( INDEX(LaboratoriosID[ID], MATCH( INDEX(LaboratoriosMaterias[Laboratorio], MATCH(tDatosMaestros[[#This Row],[ASIGNATURA]],LaboratoriosMaterias[Materia],0)), LaboratoriosID[Laboratorio],0)), "")</f>
        <v>MN</v>
      </c>
      <c r="M12" t="str">
        <f>_xlfn.IFNA( INDEX(LaboratoriosID[ID], MATCH( INDEX(LaboratoriosMaterias[LaboratorioB], MATCH(tDatosMaestros[[#This Row],[ASIGNATURA]],LaboratoriosMaterias[Materia],0)), LaboratoriosID[Laboratorio],0)), "")</f>
        <v>MS</v>
      </c>
      <c r="N12">
        <v>0</v>
      </c>
      <c r="O12">
        <v>10</v>
      </c>
    </row>
    <row r="13" spans="1:15" x14ac:dyDescent="0.25">
      <c r="A13" s="1">
        <v>1017</v>
      </c>
      <c r="B13" s="24" t="str">
        <f>"Nombre maestro "&amp;tDatosMaestros[[#This Row],[NO_CONTROL]]</f>
        <v>Nombre maestro 1017</v>
      </c>
      <c r="C13" s="24" t="s">
        <v>121</v>
      </c>
      <c r="D13" s="1">
        <v>4</v>
      </c>
      <c r="E13" s="1" t="s">
        <v>12</v>
      </c>
      <c r="F13" t="s">
        <v>9</v>
      </c>
      <c r="G13" t="s">
        <v>10</v>
      </c>
      <c r="H13" t="s">
        <v>122</v>
      </c>
      <c r="I13">
        <v>2</v>
      </c>
      <c r="J13">
        <v>2</v>
      </c>
      <c r="K13">
        <f>IF(tDatosMaestros[[#This Row],[TIPO PROFESOR]]="HRS", 3,2)</f>
        <v>3</v>
      </c>
      <c r="L13" t="str">
        <f>_xlfn.IFNA( INDEX(LaboratoriosID[ID], MATCH( INDEX(LaboratoriosMaterias[Laboratorio], MATCH(tDatosMaestros[[#This Row],[ASIGNATURA]],LaboratoriosMaterias[Materia],0)), LaboratoriosID[Laboratorio],0)), "")</f>
        <v>MN</v>
      </c>
      <c r="M13" t="str">
        <f>_xlfn.IFNA( INDEX(LaboratoriosID[ID], MATCH( INDEX(LaboratoriosMaterias[LaboratorioB], MATCH(tDatosMaestros[[#This Row],[ASIGNATURA]],LaboratoriosMaterias[Materia],0)), LaboratoriosID[Laboratorio],0)), "")</f>
        <v/>
      </c>
      <c r="N13">
        <v>0</v>
      </c>
      <c r="O13">
        <v>10</v>
      </c>
    </row>
    <row r="14" spans="1:15" x14ac:dyDescent="0.25">
      <c r="A14" s="1">
        <v>1230</v>
      </c>
      <c r="B14" s="24" t="str">
        <f>"Nombre maestro "&amp;tDatosMaestros[[#This Row],[NO_CONTROL]]</f>
        <v>Nombre maestro 1230</v>
      </c>
      <c r="C14" s="24" t="s">
        <v>41</v>
      </c>
      <c r="D14" s="1">
        <v>4</v>
      </c>
      <c r="E14" s="1" t="s">
        <v>32</v>
      </c>
      <c r="F14" t="s">
        <v>9</v>
      </c>
      <c r="G14" t="s">
        <v>10</v>
      </c>
      <c r="H14" t="s">
        <v>109</v>
      </c>
      <c r="I14">
        <v>2</v>
      </c>
      <c r="J14">
        <v>2</v>
      </c>
      <c r="K14">
        <f>IF(tDatosMaestros[[#This Row],[TIPO PROFESOR]]="HRS", 3,2)</f>
        <v>3</v>
      </c>
      <c r="L14" t="str">
        <f>_xlfn.IFNA( INDEX(LaboratoriosID[ID], MATCH( INDEX(LaboratoriosMaterias[Laboratorio], MATCH(tDatosMaestros[[#This Row],[ASIGNATURA]],LaboratoriosMaterias[Materia],0)), LaboratoriosID[Laboratorio],0)), "")</f>
        <v>MN</v>
      </c>
      <c r="M14" t="str">
        <f>_xlfn.IFNA( INDEX(LaboratoriosID[ID], MATCH( INDEX(LaboratoriosMaterias[LaboratorioB], MATCH(tDatosMaestros[[#This Row],[ASIGNATURA]],LaboratoriosMaterias[Materia],0)), LaboratoriosID[Laboratorio],0)), "")</f>
        <v>MS</v>
      </c>
      <c r="N14">
        <v>0</v>
      </c>
      <c r="O14">
        <v>10</v>
      </c>
    </row>
    <row r="15" spans="1:15" x14ac:dyDescent="0.25">
      <c r="A15" s="1">
        <v>1230</v>
      </c>
      <c r="B15" s="24" t="str">
        <f>"Nombre maestro "&amp;tDatosMaestros[[#This Row],[NO_CONTROL]]</f>
        <v>Nombre maestro 1230</v>
      </c>
      <c r="C15" s="24" t="s">
        <v>64</v>
      </c>
      <c r="D15" s="1">
        <v>5</v>
      </c>
      <c r="E15" s="1" t="s">
        <v>34</v>
      </c>
      <c r="F15" t="s">
        <v>9</v>
      </c>
      <c r="G15" t="s">
        <v>10</v>
      </c>
      <c r="H15" t="s">
        <v>107</v>
      </c>
      <c r="I15">
        <v>3</v>
      </c>
      <c r="J15">
        <v>2</v>
      </c>
      <c r="K15">
        <f>IF(tDatosMaestros[[#This Row],[TIPO PROFESOR]]="HRS", 3,2)</f>
        <v>3</v>
      </c>
      <c r="L15" t="str">
        <f>_xlfn.IFNA( INDEX(LaboratoriosID[ID], MATCH( INDEX(LaboratoriosMaterias[Laboratorio], MATCH(tDatosMaestros[[#This Row],[ASIGNATURA]],LaboratoriosMaterias[Materia],0)), LaboratoriosID[Laboratorio],0)), "")</f>
        <v>MN</v>
      </c>
      <c r="M15" t="str">
        <f>_xlfn.IFNA( INDEX(LaboratoriosID[ID], MATCH( INDEX(LaboratoriosMaterias[LaboratorioB], MATCH(tDatosMaestros[[#This Row],[ASIGNATURA]],LaboratoriosMaterias[Materia],0)), LaboratoriosID[Laboratorio],0)), "")</f>
        <v>MS</v>
      </c>
      <c r="N15">
        <v>0</v>
      </c>
      <c r="O15">
        <v>10</v>
      </c>
    </row>
    <row r="16" spans="1:15" x14ac:dyDescent="0.25">
      <c r="A16" s="30">
        <v>3010</v>
      </c>
      <c r="B16" s="31" t="str">
        <f>"Nombre maestro "&amp;tDatosMaestros[[#This Row],[NO_CONTROL]]</f>
        <v>Nombre maestro 3010</v>
      </c>
      <c r="C16" s="31" t="s">
        <v>121</v>
      </c>
      <c r="D16" s="30">
        <v>4</v>
      </c>
      <c r="E16" s="30" t="s">
        <v>8</v>
      </c>
      <c r="F16" s="32" t="s">
        <v>9</v>
      </c>
      <c r="G16" s="32" t="s">
        <v>10</v>
      </c>
      <c r="H16" s="32" t="s">
        <v>122</v>
      </c>
      <c r="I16" s="32">
        <v>2</v>
      </c>
      <c r="J16" s="32">
        <v>2</v>
      </c>
      <c r="K16">
        <f>IF(tDatosMaestros[[#This Row],[TIPO PROFESOR]]="HRS", 3,2)</f>
        <v>3</v>
      </c>
      <c r="L16" t="str">
        <f>_xlfn.IFNA( INDEX(LaboratoriosID[ID], MATCH( INDEX(LaboratoriosMaterias[Laboratorio], MATCH(tDatosMaestros[[#This Row],[ASIGNATURA]],LaboratoriosMaterias[Materia],0)), LaboratoriosID[Laboratorio],0)), "")</f>
        <v>MN</v>
      </c>
      <c r="M16" t="str">
        <f>_xlfn.IFNA( INDEX(LaboratoriosID[ID], MATCH( INDEX(LaboratoriosMaterias[LaboratorioB], MATCH(tDatosMaestros[[#This Row],[ASIGNATURA]],LaboratoriosMaterias[Materia],0)), LaboratoriosID[Laboratorio],0)), "")</f>
        <v/>
      </c>
      <c r="N16">
        <v>0</v>
      </c>
      <c r="O16">
        <v>10</v>
      </c>
    </row>
    <row r="17" spans="1:15" x14ac:dyDescent="0.25">
      <c r="A17" s="1">
        <v>4179</v>
      </c>
      <c r="B17" s="24" t="str">
        <f>"Nombre maestro "&amp;tDatosMaestros[[#This Row],[NO_CONTROL]]</f>
        <v>Nombre maestro 4179</v>
      </c>
      <c r="C17" s="24" t="s">
        <v>121</v>
      </c>
      <c r="D17" s="1">
        <v>4</v>
      </c>
      <c r="E17" s="1" t="s">
        <v>30</v>
      </c>
      <c r="F17" t="s">
        <v>9</v>
      </c>
      <c r="G17" t="s">
        <v>10</v>
      </c>
      <c r="H17" t="s">
        <v>122</v>
      </c>
      <c r="I17">
        <v>2</v>
      </c>
      <c r="J17">
        <v>2</v>
      </c>
      <c r="K17">
        <f>IF(tDatosMaestros[[#This Row],[TIPO PROFESOR]]="HRS", 3,2)</f>
        <v>3</v>
      </c>
      <c r="L17" t="str">
        <f>_xlfn.IFNA( INDEX(LaboratoriosID[ID], MATCH( INDEX(LaboratoriosMaterias[Laboratorio], MATCH(tDatosMaestros[[#This Row],[ASIGNATURA]],LaboratoriosMaterias[Materia],0)), LaboratoriosID[Laboratorio],0)), "")</f>
        <v>MN</v>
      </c>
      <c r="M17" t="str">
        <f>_xlfn.IFNA( INDEX(LaboratoriosID[ID], MATCH( INDEX(LaboratoriosMaterias[LaboratorioB], MATCH(tDatosMaestros[[#This Row],[ASIGNATURA]],LaboratoriosMaterias[Materia],0)), LaboratoriosID[Laboratorio],0)), "")</f>
        <v/>
      </c>
      <c r="N17">
        <v>0</v>
      </c>
      <c r="O17">
        <v>10</v>
      </c>
    </row>
    <row r="18" spans="1:15" x14ac:dyDescent="0.25">
      <c r="A18" s="1">
        <v>4179</v>
      </c>
      <c r="B18" s="24" t="str">
        <f>"Nombre maestro "&amp;tDatosMaestros[[#This Row],[NO_CONTROL]]</f>
        <v>Nombre maestro 4179</v>
      </c>
      <c r="C18" s="24" t="s">
        <v>121</v>
      </c>
      <c r="D18" s="1">
        <v>4</v>
      </c>
      <c r="E18" s="1" t="s">
        <v>20</v>
      </c>
      <c r="F18" t="s">
        <v>9</v>
      </c>
      <c r="G18" t="s">
        <v>10</v>
      </c>
      <c r="H18" t="s">
        <v>122</v>
      </c>
      <c r="I18">
        <v>2</v>
      </c>
      <c r="J18">
        <v>2</v>
      </c>
      <c r="K18">
        <f>IF(tDatosMaestros[[#This Row],[TIPO PROFESOR]]="HRS", 3,2)</f>
        <v>3</v>
      </c>
      <c r="L18" t="str">
        <f>_xlfn.IFNA( INDEX(LaboratoriosID[ID], MATCH( INDEX(LaboratoriosMaterias[Laboratorio], MATCH(tDatosMaestros[[#This Row],[ASIGNATURA]],LaboratoriosMaterias[Materia],0)), LaboratoriosID[Laboratorio],0)), "")</f>
        <v>MN</v>
      </c>
      <c r="M18" t="str">
        <f>_xlfn.IFNA( INDEX(LaboratoriosID[ID], MATCH( INDEX(LaboratoriosMaterias[LaboratorioB], MATCH(tDatosMaestros[[#This Row],[ASIGNATURA]],LaboratoriosMaterias[Materia],0)), LaboratoriosID[Laboratorio],0)), "")</f>
        <v/>
      </c>
      <c r="N18">
        <v>0</v>
      </c>
      <c r="O18">
        <v>10</v>
      </c>
    </row>
    <row r="19" spans="1:15" x14ac:dyDescent="0.25">
      <c r="A19" s="1">
        <v>4179</v>
      </c>
      <c r="B19" s="24" t="str">
        <f>"Nombre maestro "&amp;tDatosMaestros[[#This Row],[NO_CONTROL]]</f>
        <v>Nombre maestro 4179</v>
      </c>
      <c r="C19" s="24" t="s">
        <v>121</v>
      </c>
      <c r="D19" s="1">
        <v>4</v>
      </c>
      <c r="E19" s="1" t="s">
        <v>16</v>
      </c>
      <c r="F19" t="s">
        <v>9</v>
      </c>
      <c r="G19" t="s">
        <v>10</v>
      </c>
      <c r="H19" t="s">
        <v>122</v>
      </c>
      <c r="I19">
        <v>2</v>
      </c>
      <c r="J19">
        <v>2</v>
      </c>
      <c r="K19">
        <f>IF(tDatosMaestros[[#This Row],[TIPO PROFESOR]]="HRS", 3,2)</f>
        <v>3</v>
      </c>
      <c r="L19" t="str">
        <f>_xlfn.IFNA( INDEX(LaboratoriosID[ID], MATCH( INDEX(LaboratoriosMaterias[Laboratorio], MATCH(tDatosMaestros[[#This Row],[ASIGNATURA]],LaboratoriosMaterias[Materia],0)), LaboratoriosID[Laboratorio],0)), "")</f>
        <v>MN</v>
      </c>
      <c r="M19" t="str">
        <f>_xlfn.IFNA( INDEX(LaboratoriosID[ID], MATCH( INDEX(LaboratoriosMaterias[LaboratorioB], MATCH(tDatosMaestros[[#This Row],[ASIGNATURA]],LaboratoriosMaterias[Materia],0)), LaboratoriosID[Laboratorio],0)), "")</f>
        <v/>
      </c>
      <c r="N19">
        <v>0</v>
      </c>
      <c r="O19">
        <v>10</v>
      </c>
    </row>
    <row r="20" spans="1:15" x14ac:dyDescent="0.25">
      <c r="A20" s="1">
        <v>4179</v>
      </c>
      <c r="B20" s="24" t="str">
        <f>"Nombre maestro "&amp;tDatosMaestros[[#This Row],[NO_CONTROL]]</f>
        <v>Nombre maestro 4179</v>
      </c>
      <c r="C20" s="24" t="s">
        <v>121</v>
      </c>
      <c r="D20" s="1">
        <v>4</v>
      </c>
      <c r="E20" s="1" t="s">
        <v>17</v>
      </c>
      <c r="F20" t="s">
        <v>9</v>
      </c>
      <c r="G20" t="s">
        <v>10</v>
      </c>
      <c r="H20" t="s">
        <v>122</v>
      </c>
      <c r="I20">
        <v>2</v>
      </c>
      <c r="J20">
        <v>2</v>
      </c>
      <c r="K20">
        <f>IF(tDatosMaestros[[#This Row],[TIPO PROFESOR]]="HRS", 3,2)</f>
        <v>3</v>
      </c>
      <c r="L20" t="str">
        <f>_xlfn.IFNA( INDEX(LaboratoriosID[ID], MATCH( INDEX(LaboratoriosMaterias[Laboratorio], MATCH(tDatosMaestros[[#This Row],[ASIGNATURA]],LaboratoriosMaterias[Materia],0)), LaboratoriosID[Laboratorio],0)), "")</f>
        <v>MN</v>
      </c>
      <c r="M20" t="str">
        <f>_xlfn.IFNA( INDEX(LaboratoriosID[ID], MATCH( INDEX(LaboratoriosMaterias[LaboratorioB], MATCH(tDatosMaestros[[#This Row],[ASIGNATURA]],LaboratoriosMaterias[Materia],0)), LaboratoriosID[Laboratorio],0)), "")</f>
        <v/>
      </c>
      <c r="N20">
        <v>0</v>
      </c>
      <c r="O20">
        <v>10</v>
      </c>
    </row>
    <row r="21" spans="1:15" x14ac:dyDescent="0.25">
      <c r="A21" s="1">
        <v>4179</v>
      </c>
      <c r="B21" s="24" t="str">
        <f>"Nombre maestro "&amp;tDatosMaestros[[#This Row],[NO_CONTROL]]</f>
        <v>Nombre maestro 4179</v>
      </c>
      <c r="C21" s="24" t="s">
        <v>121</v>
      </c>
      <c r="D21" s="1">
        <v>4</v>
      </c>
      <c r="E21" s="1" t="s">
        <v>18</v>
      </c>
      <c r="F21" t="s">
        <v>9</v>
      </c>
      <c r="G21" t="s">
        <v>10</v>
      </c>
      <c r="H21" t="s">
        <v>122</v>
      </c>
      <c r="I21">
        <v>2</v>
      </c>
      <c r="J21">
        <v>2</v>
      </c>
      <c r="K21">
        <f>IF(tDatosMaestros[[#This Row],[TIPO PROFESOR]]="HRS", 3,2)</f>
        <v>3</v>
      </c>
      <c r="L21" t="str">
        <f>_xlfn.IFNA( INDEX(LaboratoriosID[ID], MATCH( INDEX(LaboratoriosMaterias[Laboratorio], MATCH(tDatosMaestros[[#This Row],[ASIGNATURA]],LaboratoriosMaterias[Materia],0)), LaboratoriosID[Laboratorio],0)), "")</f>
        <v>MN</v>
      </c>
      <c r="M21" t="str">
        <f>_xlfn.IFNA( INDEX(LaboratoriosID[ID], MATCH( INDEX(LaboratoriosMaterias[LaboratorioB], MATCH(tDatosMaestros[[#This Row],[ASIGNATURA]],LaboratoriosMaterias[Materia],0)), LaboratoriosID[Laboratorio],0)), "")</f>
        <v/>
      </c>
      <c r="N21">
        <v>0</v>
      </c>
      <c r="O21">
        <v>10</v>
      </c>
    </row>
    <row r="22" spans="1:15" x14ac:dyDescent="0.25">
      <c r="A22" s="1">
        <v>4179</v>
      </c>
      <c r="B22" s="24" t="str">
        <f>"Nombre maestro "&amp;tDatosMaestros[[#This Row],[NO_CONTROL]]</f>
        <v>Nombre maestro 4179</v>
      </c>
      <c r="C22" s="24" t="s">
        <v>121</v>
      </c>
      <c r="D22" s="1">
        <v>4</v>
      </c>
      <c r="E22" s="1" t="s">
        <v>43</v>
      </c>
      <c r="F22" t="s">
        <v>9</v>
      </c>
      <c r="G22" t="s">
        <v>10</v>
      </c>
      <c r="H22" t="s">
        <v>122</v>
      </c>
      <c r="I22">
        <v>2</v>
      </c>
      <c r="J22">
        <v>2</v>
      </c>
      <c r="K22">
        <f>IF(tDatosMaestros[[#This Row],[TIPO PROFESOR]]="HRS", 3,2)</f>
        <v>3</v>
      </c>
      <c r="L22" t="str">
        <f>_xlfn.IFNA( INDEX(LaboratoriosID[ID], MATCH( INDEX(LaboratoriosMaterias[Laboratorio], MATCH(tDatosMaestros[[#This Row],[ASIGNATURA]],LaboratoriosMaterias[Materia],0)), LaboratoriosID[Laboratorio],0)), "")</f>
        <v>MN</v>
      </c>
      <c r="M22" t="str">
        <f>_xlfn.IFNA( INDEX(LaboratoriosID[ID], MATCH( INDEX(LaboratoriosMaterias[LaboratorioB], MATCH(tDatosMaestros[[#This Row],[ASIGNATURA]],LaboratoriosMaterias[Materia],0)), LaboratoriosID[Laboratorio],0)), "")</f>
        <v/>
      </c>
      <c r="N22">
        <v>0</v>
      </c>
      <c r="O22">
        <v>10</v>
      </c>
    </row>
    <row r="23" spans="1:15" x14ac:dyDescent="0.25">
      <c r="A23" s="1">
        <v>4179</v>
      </c>
      <c r="B23" s="24" t="str">
        <f>"Nombre maestro "&amp;tDatosMaestros[[#This Row],[NO_CONTROL]]</f>
        <v>Nombre maestro 4179</v>
      </c>
      <c r="C23" s="24" t="s">
        <v>56</v>
      </c>
      <c r="D23" s="1">
        <v>4</v>
      </c>
      <c r="E23" s="1" t="s">
        <v>24</v>
      </c>
      <c r="F23" t="s">
        <v>9</v>
      </c>
      <c r="G23" t="s">
        <v>10</v>
      </c>
      <c r="H23" t="s">
        <v>124</v>
      </c>
      <c r="I23">
        <v>2</v>
      </c>
      <c r="J23">
        <v>2</v>
      </c>
      <c r="K23">
        <f>IF(tDatosMaestros[[#This Row],[TIPO PROFESOR]]="HRS", 3,2)</f>
        <v>3</v>
      </c>
      <c r="L23" t="str">
        <f>_xlfn.IFNA( INDEX(LaboratoriosID[ID], MATCH( INDEX(LaboratoriosMaterias[Laboratorio], MATCH(tDatosMaestros[[#This Row],[ASIGNATURA]],LaboratoriosMaterias[Materia],0)), LaboratoriosID[Laboratorio],0)), "")</f>
        <v>MN</v>
      </c>
      <c r="M23" t="str">
        <f>_xlfn.IFNA( INDEX(LaboratoriosID[ID], MATCH( INDEX(LaboratoriosMaterias[LaboratorioB], MATCH(tDatosMaestros[[#This Row],[ASIGNATURA]],LaboratoriosMaterias[Materia],0)), LaboratoriosID[Laboratorio],0)), "")</f>
        <v>MS</v>
      </c>
      <c r="N23">
        <v>0</v>
      </c>
      <c r="O23">
        <v>10</v>
      </c>
    </row>
    <row r="24" spans="1:15" x14ac:dyDescent="0.25">
      <c r="A24" s="1">
        <v>4179</v>
      </c>
      <c r="B24" s="24" t="str">
        <f>"Nombre maestro "&amp;tDatosMaestros[[#This Row],[NO_CONTROL]]</f>
        <v>Nombre maestro 4179</v>
      </c>
      <c r="C24" s="24" t="s">
        <v>56</v>
      </c>
      <c r="D24" s="1">
        <v>4</v>
      </c>
      <c r="E24" s="1" t="s">
        <v>26</v>
      </c>
      <c r="F24" t="s">
        <v>9</v>
      </c>
      <c r="G24" t="s">
        <v>10</v>
      </c>
      <c r="H24" t="s">
        <v>124</v>
      </c>
      <c r="I24">
        <v>2</v>
      </c>
      <c r="J24">
        <v>2</v>
      </c>
      <c r="K24">
        <f>IF(tDatosMaestros[[#This Row],[TIPO PROFESOR]]="HRS", 3,2)</f>
        <v>3</v>
      </c>
      <c r="L24" t="str">
        <f>_xlfn.IFNA( INDEX(LaboratoriosID[ID], MATCH( INDEX(LaboratoriosMaterias[Laboratorio], MATCH(tDatosMaestros[[#This Row],[ASIGNATURA]],LaboratoriosMaterias[Materia],0)), LaboratoriosID[Laboratorio],0)), "")</f>
        <v>MN</v>
      </c>
      <c r="M24" t="str">
        <f>_xlfn.IFNA( INDEX(LaboratoriosID[ID], MATCH( INDEX(LaboratoriosMaterias[LaboratorioB], MATCH(tDatosMaestros[[#This Row],[ASIGNATURA]],LaboratoriosMaterias[Materia],0)), LaboratoriosID[Laboratorio],0)), "")</f>
        <v>MS</v>
      </c>
      <c r="N24">
        <v>2</v>
      </c>
      <c r="O24">
        <v>10</v>
      </c>
    </row>
    <row r="25" spans="1:15" x14ac:dyDescent="0.25">
      <c r="A25" s="2">
        <v>5707</v>
      </c>
      <c r="B25" s="25" t="str">
        <f>"Nombre maestro "&amp;tDatosMaestros[[#This Row],[NO_CONTROL]]</f>
        <v>Nombre maestro 5707</v>
      </c>
      <c r="C25" s="25" t="s">
        <v>58</v>
      </c>
      <c r="D25" s="2">
        <v>5</v>
      </c>
      <c r="E25" s="2" t="s">
        <v>33</v>
      </c>
      <c r="F25" s="3" t="s">
        <v>9</v>
      </c>
      <c r="G25" s="3" t="s">
        <v>23</v>
      </c>
      <c r="H25" t="s">
        <v>126</v>
      </c>
      <c r="I25">
        <v>3</v>
      </c>
      <c r="J25">
        <v>2</v>
      </c>
      <c r="K25">
        <f>IF(tDatosMaestros[[#This Row],[TIPO PROFESOR]]="HRS", 3,2)</f>
        <v>2</v>
      </c>
      <c r="L25" t="str">
        <f>_xlfn.IFNA( INDEX(LaboratoriosID[ID], MATCH( INDEX(LaboratoriosMaterias[Laboratorio], MATCH(tDatosMaestros[[#This Row],[ASIGNATURA]],LaboratoriosMaterias[Materia],0)), LaboratoriosID[Laboratorio],0)), "")</f>
        <v>MN</v>
      </c>
      <c r="M25" t="str">
        <f>_xlfn.IFNA( INDEX(LaboratoriosID[ID], MATCH( INDEX(LaboratoriosMaterias[LaboratorioB], MATCH(tDatosMaestros[[#This Row],[ASIGNATURA]],LaboratoriosMaterias[Materia],0)), LaboratoriosID[Laboratorio],0)), "")</f>
        <v>MS</v>
      </c>
      <c r="N25">
        <v>0</v>
      </c>
      <c r="O25">
        <v>10</v>
      </c>
    </row>
    <row r="26" spans="1:15" x14ac:dyDescent="0.25">
      <c r="A26" s="2">
        <v>5707</v>
      </c>
      <c r="B26" s="25" t="str">
        <f>"Nombre maestro "&amp;tDatosMaestros[[#This Row],[NO_CONTROL]]</f>
        <v>Nombre maestro 5707</v>
      </c>
      <c r="C26" s="25" t="s">
        <v>61</v>
      </c>
      <c r="D26" s="2">
        <v>5</v>
      </c>
      <c r="E26" s="2" t="s">
        <v>32</v>
      </c>
      <c r="F26" s="3" t="s">
        <v>9</v>
      </c>
      <c r="G26" s="3" t="s">
        <v>23</v>
      </c>
      <c r="H26" t="s">
        <v>129</v>
      </c>
      <c r="I26">
        <v>3</v>
      </c>
      <c r="J26">
        <v>2</v>
      </c>
      <c r="K26">
        <f>IF(tDatosMaestros[[#This Row],[TIPO PROFESOR]]="HRS", 3,2)</f>
        <v>2</v>
      </c>
      <c r="L26" t="str">
        <f>_xlfn.IFNA( INDEX(LaboratoriosID[ID], MATCH( INDEX(LaboratoriosMaterias[Laboratorio], MATCH(tDatosMaestros[[#This Row],[ASIGNATURA]],LaboratoriosMaterias[Materia],0)), LaboratoriosID[Laboratorio],0)), "")</f>
        <v>MN</v>
      </c>
      <c r="M26" t="str">
        <f>_xlfn.IFNA( INDEX(LaboratoriosID[ID], MATCH( INDEX(LaboratoriosMaterias[LaboratorioB], MATCH(tDatosMaestros[[#This Row],[ASIGNATURA]],LaboratoriosMaterias[Materia],0)), LaboratoriosID[Laboratorio],0)), "")</f>
        <v>MS</v>
      </c>
      <c r="N26">
        <v>0</v>
      </c>
      <c r="O26">
        <v>10</v>
      </c>
    </row>
    <row r="27" spans="1:15" x14ac:dyDescent="0.25">
      <c r="A27" s="2">
        <v>5707</v>
      </c>
      <c r="B27" s="25" t="str">
        <f>"Nombre maestro "&amp;tDatosMaestros[[#This Row],[NO_CONTROL]]</f>
        <v>Nombre maestro 5707</v>
      </c>
      <c r="C27" s="25" t="s">
        <v>61</v>
      </c>
      <c r="D27" s="2">
        <v>5</v>
      </c>
      <c r="E27" s="2" t="s">
        <v>34</v>
      </c>
      <c r="F27" s="3" t="s">
        <v>9</v>
      </c>
      <c r="G27" s="3" t="s">
        <v>23</v>
      </c>
      <c r="H27" t="s">
        <v>129</v>
      </c>
      <c r="I27">
        <v>3</v>
      </c>
      <c r="J27">
        <v>2</v>
      </c>
      <c r="K27">
        <f>IF(tDatosMaestros[[#This Row],[TIPO PROFESOR]]="HRS", 3,2)</f>
        <v>2</v>
      </c>
      <c r="L27" t="str">
        <f>_xlfn.IFNA( INDEX(LaboratoriosID[ID], MATCH( INDEX(LaboratoriosMaterias[Laboratorio], MATCH(tDatosMaestros[[#This Row],[ASIGNATURA]],LaboratoriosMaterias[Materia],0)), LaboratoriosID[Laboratorio],0)), "")</f>
        <v>MN</v>
      </c>
      <c r="M27" t="str">
        <f>_xlfn.IFNA( INDEX(LaboratoriosID[ID], MATCH( INDEX(LaboratoriosMaterias[LaboratorioB], MATCH(tDatosMaestros[[#This Row],[ASIGNATURA]],LaboratoriosMaterias[Materia],0)), LaboratoriosID[Laboratorio],0)), "")</f>
        <v>MS</v>
      </c>
      <c r="N27">
        <v>0</v>
      </c>
      <c r="O27">
        <v>10</v>
      </c>
    </row>
    <row r="28" spans="1:15" x14ac:dyDescent="0.25">
      <c r="A28" s="2">
        <v>1260</v>
      </c>
      <c r="B28" s="25" t="str">
        <f>"Nombre maestro "&amp;tDatosMaestros[[#This Row],[NO_CONTROL]]</f>
        <v>Nombre maestro 1260</v>
      </c>
      <c r="C28" s="25" t="s">
        <v>67</v>
      </c>
      <c r="D28" s="2">
        <v>5</v>
      </c>
      <c r="E28" s="2" t="s">
        <v>31</v>
      </c>
      <c r="F28" s="3" t="s">
        <v>9</v>
      </c>
      <c r="G28" s="3" t="s">
        <v>23</v>
      </c>
      <c r="H28" t="s">
        <v>134</v>
      </c>
      <c r="I28">
        <v>3</v>
      </c>
      <c r="J28">
        <v>2</v>
      </c>
      <c r="K28">
        <f>IF(tDatosMaestros[[#This Row],[TIPO PROFESOR]]="HRS", 3,2)</f>
        <v>2</v>
      </c>
      <c r="L28" t="str">
        <f>_xlfn.IFNA( INDEX(LaboratoriosID[ID], MATCH( INDEX(LaboratoriosMaterias[Laboratorio], MATCH(tDatosMaestros[[#This Row],[ASIGNATURA]],LaboratoriosMaterias[Materia],0)), LaboratoriosID[Laboratorio],0)), "")</f>
        <v>LQ</v>
      </c>
      <c r="M28" t="str">
        <f>_xlfn.IFNA( INDEX(LaboratoriosID[ID], MATCH( INDEX(LaboratoriosMaterias[LaboratorioB], MATCH(tDatosMaestros[[#This Row],[ASIGNATURA]],LaboratoriosMaterias[Materia],0)), LaboratoriosID[Laboratorio],0)), "")</f>
        <v/>
      </c>
      <c r="N28">
        <v>0</v>
      </c>
      <c r="O28">
        <v>10</v>
      </c>
    </row>
    <row r="29" spans="1:15" x14ac:dyDescent="0.25">
      <c r="A29" s="2">
        <v>1260</v>
      </c>
      <c r="B29" s="25" t="str">
        <f>"Nombre maestro "&amp;tDatosMaestros[[#This Row],[NO_CONTROL]]</f>
        <v>Nombre maestro 1260</v>
      </c>
      <c r="C29" s="25" t="s">
        <v>67</v>
      </c>
      <c r="D29" s="2">
        <v>5</v>
      </c>
      <c r="E29" s="2" t="s">
        <v>32</v>
      </c>
      <c r="F29" s="3" t="s">
        <v>9</v>
      </c>
      <c r="G29" s="3" t="s">
        <v>23</v>
      </c>
      <c r="H29" t="s">
        <v>134</v>
      </c>
      <c r="I29">
        <v>3</v>
      </c>
      <c r="J29">
        <v>2</v>
      </c>
      <c r="K29">
        <f>IF(tDatosMaestros[[#This Row],[TIPO PROFESOR]]="HRS", 3,2)</f>
        <v>2</v>
      </c>
      <c r="L29" t="str">
        <f>_xlfn.IFNA( INDEX(LaboratoriosID[ID], MATCH( INDEX(LaboratoriosMaterias[Laboratorio], MATCH(tDatosMaestros[[#This Row],[ASIGNATURA]],LaboratoriosMaterias[Materia],0)), LaboratoriosID[Laboratorio],0)), "")</f>
        <v>LQ</v>
      </c>
      <c r="M29" t="str">
        <f>_xlfn.IFNA( INDEX(LaboratoriosID[ID], MATCH( INDEX(LaboratoriosMaterias[LaboratorioB], MATCH(tDatosMaestros[[#This Row],[ASIGNATURA]],LaboratoriosMaterias[Materia],0)), LaboratoriosID[Laboratorio],0)), "")</f>
        <v/>
      </c>
      <c r="N29">
        <v>0</v>
      </c>
      <c r="O29">
        <v>10</v>
      </c>
    </row>
    <row r="30" spans="1:15" x14ac:dyDescent="0.25">
      <c r="A30" s="2">
        <v>1260</v>
      </c>
      <c r="B30" s="25" t="str">
        <f>"Nombre maestro "&amp;tDatosMaestros[[#This Row],[NO_CONTROL]]</f>
        <v>Nombre maestro 1260</v>
      </c>
      <c r="C30" s="25" t="s">
        <v>67</v>
      </c>
      <c r="D30" s="2">
        <v>5</v>
      </c>
      <c r="E30" s="2" t="s">
        <v>33</v>
      </c>
      <c r="F30" s="3" t="s">
        <v>9</v>
      </c>
      <c r="G30" s="3" t="s">
        <v>23</v>
      </c>
      <c r="H30" t="s">
        <v>134</v>
      </c>
      <c r="I30">
        <v>3</v>
      </c>
      <c r="J30">
        <v>2</v>
      </c>
      <c r="K30">
        <f>IF(tDatosMaestros[[#This Row],[TIPO PROFESOR]]="HRS", 3,2)</f>
        <v>2</v>
      </c>
      <c r="L30" t="str">
        <f>_xlfn.IFNA( INDEX(LaboratoriosID[ID], MATCH( INDEX(LaboratoriosMaterias[Laboratorio], MATCH(tDatosMaestros[[#This Row],[ASIGNATURA]],LaboratoriosMaterias[Materia],0)), LaboratoriosID[Laboratorio],0)), "")</f>
        <v>LQ</v>
      </c>
      <c r="M30" t="str">
        <f>_xlfn.IFNA( INDEX(LaboratoriosID[ID], MATCH( INDEX(LaboratoriosMaterias[LaboratorioB], MATCH(tDatosMaestros[[#This Row],[ASIGNATURA]],LaboratoriosMaterias[Materia],0)), LaboratoriosID[Laboratorio],0)), "")</f>
        <v/>
      </c>
      <c r="N30">
        <v>0</v>
      </c>
      <c r="O30">
        <v>10</v>
      </c>
    </row>
    <row r="31" spans="1:15" x14ac:dyDescent="0.25">
      <c r="A31" s="2">
        <v>1260</v>
      </c>
      <c r="B31" s="25" t="str">
        <f>"Nombre maestro "&amp;tDatosMaestros[[#This Row],[NO_CONTROL]]</f>
        <v>Nombre maestro 1260</v>
      </c>
      <c r="C31" s="25" t="s">
        <v>67</v>
      </c>
      <c r="D31" s="2">
        <v>5</v>
      </c>
      <c r="E31" s="2" t="s">
        <v>34</v>
      </c>
      <c r="F31" s="3" t="s">
        <v>9</v>
      </c>
      <c r="G31" s="3" t="s">
        <v>23</v>
      </c>
      <c r="H31" t="s">
        <v>134</v>
      </c>
      <c r="I31">
        <v>3</v>
      </c>
      <c r="J31">
        <v>2</v>
      </c>
      <c r="K31">
        <f>IF(tDatosMaestros[[#This Row],[TIPO PROFESOR]]="HRS", 3,2)</f>
        <v>2</v>
      </c>
      <c r="L31" t="str">
        <f>_xlfn.IFNA( INDEX(LaboratoriosID[ID], MATCH( INDEX(LaboratoriosMaterias[Laboratorio], MATCH(tDatosMaestros[[#This Row],[ASIGNATURA]],LaboratoriosMaterias[Materia],0)), LaboratoriosID[Laboratorio],0)), "")</f>
        <v>LQ</v>
      </c>
      <c r="M31" t="str">
        <f>_xlfn.IFNA( INDEX(LaboratoriosID[ID], MATCH( INDEX(LaboratoriosMaterias[LaboratorioB], MATCH(tDatosMaestros[[#This Row],[ASIGNATURA]],LaboratoriosMaterias[Materia],0)), LaboratoriosID[Laboratorio],0)), "")</f>
        <v/>
      </c>
      <c r="N31">
        <v>0</v>
      </c>
      <c r="O31">
        <v>10</v>
      </c>
    </row>
    <row r="32" spans="1:15" x14ac:dyDescent="0.25">
      <c r="A32" s="1">
        <v>2593</v>
      </c>
      <c r="B32" s="24" t="str">
        <f>"Nombre maestro "&amp;tDatosMaestros[[#This Row],[NO_CONTROL]]</f>
        <v>Nombre maestro 2593</v>
      </c>
      <c r="C32" s="24" t="s">
        <v>15</v>
      </c>
      <c r="D32" s="1">
        <v>5</v>
      </c>
      <c r="E32" s="1" t="s">
        <v>12</v>
      </c>
      <c r="F32" t="s">
        <v>9</v>
      </c>
      <c r="G32" t="s">
        <v>10</v>
      </c>
      <c r="H32" t="s">
        <v>101</v>
      </c>
      <c r="I32">
        <v>3</v>
      </c>
      <c r="J32">
        <v>2</v>
      </c>
      <c r="K32">
        <f>IF(tDatosMaestros[[#This Row],[TIPO PROFESOR]]="HRS", 3,2)</f>
        <v>3</v>
      </c>
      <c r="L32" t="str">
        <f>_xlfn.IFNA( INDEX(LaboratoriosID[ID], MATCH( INDEX(LaboratoriosMaterias[Laboratorio], MATCH(tDatosMaestros[[#This Row],[ASIGNATURA]],LaboratoriosMaterias[Materia],0)), LaboratoriosID[Laboratorio],0)), "")</f>
        <v>LQ</v>
      </c>
      <c r="M32" t="str">
        <f>_xlfn.IFNA( INDEX(LaboratoriosID[ID], MATCH( INDEX(LaboratoriosMaterias[LaboratorioB], MATCH(tDatosMaestros[[#This Row],[ASIGNATURA]],LaboratoriosMaterias[Materia],0)), LaboratoriosID[Laboratorio],0)), "")</f>
        <v/>
      </c>
      <c r="N32">
        <v>0</v>
      </c>
      <c r="O32">
        <v>10</v>
      </c>
    </row>
    <row r="33" spans="1:15" x14ac:dyDescent="0.25">
      <c r="A33" s="1">
        <v>2593</v>
      </c>
      <c r="B33" s="24" t="str">
        <f>"Nombre maestro "&amp;tDatosMaestros[[#This Row],[NO_CONTROL]]</f>
        <v>Nombre maestro 2593</v>
      </c>
      <c r="C33" s="24" t="s">
        <v>15</v>
      </c>
      <c r="D33" s="1">
        <v>5</v>
      </c>
      <c r="E33" s="1" t="s">
        <v>16</v>
      </c>
      <c r="F33" t="s">
        <v>9</v>
      </c>
      <c r="G33" t="s">
        <v>10</v>
      </c>
      <c r="H33" t="s">
        <v>101</v>
      </c>
      <c r="I33">
        <v>3</v>
      </c>
      <c r="J33">
        <v>2</v>
      </c>
      <c r="K33">
        <f>IF(tDatosMaestros[[#This Row],[TIPO PROFESOR]]="HRS", 3,2)</f>
        <v>3</v>
      </c>
      <c r="L33" t="str">
        <f>_xlfn.IFNA( INDEX(LaboratoriosID[ID], MATCH( INDEX(LaboratoriosMaterias[Laboratorio], MATCH(tDatosMaestros[[#This Row],[ASIGNATURA]],LaboratoriosMaterias[Materia],0)), LaboratoriosID[Laboratorio],0)), "")</f>
        <v>LQ</v>
      </c>
      <c r="M33" t="str">
        <f>_xlfn.IFNA( INDEX(LaboratoriosID[ID], MATCH( INDEX(LaboratoriosMaterias[LaboratorioB], MATCH(tDatosMaestros[[#This Row],[ASIGNATURA]],LaboratoriosMaterias[Materia],0)), LaboratoriosID[Laboratorio],0)), "")</f>
        <v/>
      </c>
      <c r="N33">
        <v>0</v>
      </c>
      <c r="O33">
        <v>10</v>
      </c>
    </row>
    <row r="34" spans="1:15" x14ac:dyDescent="0.25">
      <c r="A34" s="1">
        <v>2593</v>
      </c>
      <c r="B34" s="24" t="str">
        <f>"Nombre maestro "&amp;tDatosMaestros[[#This Row],[NO_CONTROL]]</f>
        <v>Nombre maestro 2593</v>
      </c>
      <c r="C34" s="24" t="s">
        <v>15</v>
      </c>
      <c r="D34" s="1">
        <v>5</v>
      </c>
      <c r="E34" s="1" t="s">
        <v>17</v>
      </c>
      <c r="F34" t="s">
        <v>9</v>
      </c>
      <c r="G34" t="s">
        <v>10</v>
      </c>
      <c r="H34" t="s">
        <v>101</v>
      </c>
      <c r="I34">
        <v>3</v>
      </c>
      <c r="J34">
        <v>2</v>
      </c>
      <c r="K34">
        <f>IF(tDatosMaestros[[#This Row],[TIPO PROFESOR]]="HRS", 3,2)</f>
        <v>3</v>
      </c>
      <c r="L34" t="str">
        <f>_xlfn.IFNA( INDEX(LaboratoriosID[ID], MATCH( INDEX(LaboratoriosMaterias[Laboratorio], MATCH(tDatosMaestros[[#This Row],[ASIGNATURA]],LaboratoriosMaterias[Materia],0)), LaboratoriosID[Laboratorio],0)), "")</f>
        <v>LQ</v>
      </c>
      <c r="M34" t="str">
        <f>_xlfn.IFNA( INDEX(LaboratoriosID[ID], MATCH( INDEX(LaboratoriosMaterias[LaboratorioB], MATCH(tDatosMaestros[[#This Row],[ASIGNATURA]],LaboratoriosMaterias[Materia],0)), LaboratoriosID[Laboratorio],0)), "")</f>
        <v/>
      </c>
      <c r="N34">
        <v>0</v>
      </c>
      <c r="O34">
        <v>10</v>
      </c>
    </row>
    <row r="35" spans="1:15" x14ac:dyDescent="0.25">
      <c r="A35" s="1">
        <v>2593</v>
      </c>
      <c r="B35" s="24" t="str">
        <f>"Nombre maestro "&amp;tDatosMaestros[[#This Row],[NO_CONTROL]]</f>
        <v>Nombre maestro 2593</v>
      </c>
      <c r="C35" s="24" t="s">
        <v>15</v>
      </c>
      <c r="D35" s="1">
        <v>5</v>
      </c>
      <c r="E35" s="1" t="s">
        <v>18</v>
      </c>
      <c r="F35" t="s">
        <v>9</v>
      </c>
      <c r="G35" t="s">
        <v>10</v>
      </c>
      <c r="H35" t="s">
        <v>101</v>
      </c>
      <c r="I35">
        <v>3</v>
      </c>
      <c r="J35">
        <v>2</v>
      </c>
      <c r="K35">
        <f>IF(tDatosMaestros[[#This Row],[TIPO PROFESOR]]="HRS", 3,2)</f>
        <v>3</v>
      </c>
      <c r="L35" t="str">
        <f>_xlfn.IFNA( INDEX(LaboratoriosID[ID], MATCH( INDEX(LaboratoriosMaterias[Laboratorio], MATCH(tDatosMaestros[[#This Row],[ASIGNATURA]],LaboratoriosMaterias[Materia],0)), LaboratoriosID[Laboratorio],0)), "")</f>
        <v>LQ</v>
      </c>
      <c r="M35" t="str">
        <f>_xlfn.IFNA( INDEX(LaboratoriosID[ID], MATCH( INDEX(LaboratoriosMaterias[LaboratorioB], MATCH(tDatosMaestros[[#This Row],[ASIGNATURA]],LaboratoriosMaterias[Materia],0)), LaboratoriosID[Laboratorio],0)), "")</f>
        <v/>
      </c>
      <c r="N35">
        <v>0</v>
      </c>
      <c r="O35">
        <v>10</v>
      </c>
    </row>
    <row r="36" spans="1:15" x14ac:dyDescent="0.25">
      <c r="A36" s="2">
        <v>76</v>
      </c>
      <c r="B36" s="25" t="str">
        <f>"Nombre maestro "&amp;tDatosMaestros[[#This Row],[NO_CONTROL]]</f>
        <v>Nombre maestro 76</v>
      </c>
      <c r="C36" s="25" t="s">
        <v>21</v>
      </c>
      <c r="D36" s="2">
        <v>5</v>
      </c>
      <c r="E36" s="2" t="s">
        <v>22</v>
      </c>
      <c r="F36" s="3" t="s">
        <v>9</v>
      </c>
      <c r="G36" s="3" t="s">
        <v>23</v>
      </c>
      <c r="H36" t="s">
        <v>103</v>
      </c>
      <c r="I36">
        <v>3</v>
      </c>
      <c r="J36">
        <v>2</v>
      </c>
      <c r="K36">
        <f>IF(tDatosMaestros[[#This Row],[TIPO PROFESOR]]="HRS", 3,2)</f>
        <v>2</v>
      </c>
      <c r="L36" t="str">
        <f>_xlfn.IFNA( INDEX(LaboratoriosID[ID], MATCH( INDEX(LaboratoriosMaterias[Laboratorio], MATCH(tDatosMaestros[[#This Row],[ASIGNATURA]],LaboratoriosMaterias[Materia],0)), LaboratoriosID[Laboratorio],0)), "")</f>
        <v>LF</v>
      </c>
      <c r="M36" t="str">
        <f>_xlfn.IFNA( INDEX(LaboratoriosID[ID], MATCH( INDEX(LaboratoriosMaterias[LaboratorioB], MATCH(tDatosMaestros[[#This Row],[ASIGNATURA]],LaboratoriosMaterias[Materia],0)), LaboratoriosID[Laboratorio],0)), "")</f>
        <v/>
      </c>
      <c r="N36">
        <v>0</v>
      </c>
      <c r="O36">
        <v>10</v>
      </c>
    </row>
    <row r="37" spans="1:15" x14ac:dyDescent="0.25">
      <c r="A37" s="2">
        <v>76</v>
      </c>
      <c r="B37" s="25" t="str">
        <f>"Nombre maestro "&amp;tDatosMaestros[[#This Row],[NO_CONTROL]]</f>
        <v>Nombre maestro 76</v>
      </c>
      <c r="C37" s="25" t="s">
        <v>21</v>
      </c>
      <c r="D37" s="2">
        <v>5</v>
      </c>
      <c r="E37" s="2" t="s">
        <v>24</v>
      </c>
      <c r="F37" s="3" t="s">
        <v>9</v>
      </c>
      <c r="G37" s="3" t="s">
        <v>23</v>
      </c>
      <c r="H37" t="s">
        <v>103</v>
      </c>
      <c r="I37">
        <v>3</v>
      </c>
      <c r="J37">
        <v>2</v>
      </c>
      <c r="K37">
        <f>IF(tDatosMaestros[[#This Row],[TIPO PROFESOR]]="HRS", 3,2)</f>
        <v>2</v>
      </c>
      <c r="L37" t="str">
        <f>_xlfn.IFNA( INDEX(LaboratoriosID[ID], MATCH( INDEX(LaboratoriosMaterias[Laboratorio], MATCH(tDatosMaestros[[#This Row],[ASIGNATURA]],LaboratoriosMaterias[Materia],0)), LaboratoriosID[Laboratorio],0)), "")</f>
        <v>LF</v>
      </c>
      <c r="M37" t="str">
        <f>_xlfn.IFNA( INDEX(LaboratoriosID[ID], MATCH( INDEX(LaboratoriosMaterias[LaboratorioB], MATCH(tDatosMaestros[[#This Row],[ASIGNATURA]],LaboratoriosMaterias[Materia],0)), LaboratoriosID[Laboratorio],0)), "")</f>
        <v/>
      </c>
      <c r="N37">
        <v>0</v>
      </c>
      <c r="O37">
        <v>10</v>
      </c>
    </row>
    <row r="38" spans="1:15" x14ac:dyDescent="0.25">
      <c r="A38" s="2">
        <v>76</v>
      </c>
      <c r="B38" s="25" t="str">
        <f>"Nombre maestro "&amp;tDatosMaestros[[#This Row],[NO_CONTROL]]</f>
        <v>Nombre maestro 76</v>
      </c>
      <c r="C38" s="25" t="s">
        <v>21</v>
      </c>
      <c r="D38" s="2">
        <v>5</v>
      </c>
      <c r="E38" s="2" t="s">
        <v>25</v>
      </c>
      <c r="F38" s="3" t="s">
        <v>9</v>
      </c>
      <c r="G38" s="3" t="s">
        <v>23</v>
      </c>
      <c r="H38" t="s">
        <v>103</v>
      </c>
      <c r="I38">
        <v>3</v>
      </c>
      <c r="J38">
        <v>2</v>
      </c>
      <c r="K38">
        <f>IF(tDatosMaestros[[#This Row],[TIPO PROFESOR]]="HRS", 3,2)</f>
        <v>2</v>
      </c>
      <c r="L38" t="str">
        <f>_xlfn.IFNA( INDEX(LaboratoriosID[ID], MATCH( INDEX(LaboratoriosMaterias[Laboratorio], MATCH(tDatosMaestros[[#This Row],[ASIGNATURA]],LaboratoriosMaterias[Materia],0)), LaboratoriosID[Laboratorio],0)), "")</f>
        <v>LF</v>
      </c>
      <c r="M38" t="str">
        <f>_xlfn.IFNA( INDEX(LaboratoriosID[ID], MATCH( INDEX(LaboratoriosMaterias[LaboratorioB], MATCH(tDatosMaestros[[#This Row],[ASIGNATURA]],LaboratoriosMaterias[Materia],0)), LaboratoriosID[Laboratorio],0)), "")</f>
        <v/>
      </c>
      <c r="N38">
        <v>0</v>
      </c>
      <c r="O38">
        <v>10</v>
      </c>
    </row>
    <row r="39" spans="1:15" x14ac:dyDescent="0.25">
      <c r="A39" s="2">
        <v>76</v>
      </c>
      <c r="B39" s="25" t="str">
        <f>"Nombre maestro "&amp;tDatosMaestros[[#This Row],[NO_CONTROL]]</f>
        <v>Nombre maestro 76</v>
      </c>
      <c r="C39" s="25" t="s">
        <v>21</v>
      </c>
      <c r="D39" s="2">
        <v>5</v>
      </c>
      <c r="E39" s="2" t="s">
        <v>26</v>
      </c>
      <c r="F39" s="3" t="s">
        <v>9</v>
      </c>
      <c r="G39" s="3" t="s">
        <v>23</v>
      </c>
      <c r="H39" t="s">
        <v>103</v>
      </c>
      <c r="I39">
        <v>3</v>
      </c>
      <c r="J39">
        <v>2</v>
      </c>
      <c r="K39">
        <f>IF(tDatosMaestros[[#This Row],[TIPO PROFESOR]]="HRS", 3,2)</f>
        <v>2</v>
      </c>
      <c r="L39" t="str">
        <f>_xlfn.IFNA( INDEX(LaboratoriosID[ID], MATCH( INDEX(LaboratoriosMaterias[Laboratorio], MATCH(tDatosMaestros[[#This Row],[ASIGNATURA]],LaboratoriosMaterias[Materia],0)), LaboratoriosID[Laboratorio],0)), "")</f>
        <v>LF</v>
      </c>
      <c r="M39" t="str">
        <f>_xlfn.IFNA( INDEX(LaboratoriosID[ID], MATCH( INDEX(LaboratoriosMaterias[LaboratorioB], MATCH(tDatosMaestros[[#This Row],[ASIGNATURA]],LaboratoriosMaterias[Materia],0)), LaboratoriosID[Laboratorio],0)), "")</f>
        <v/>
      </c>
      <c r="N39">
        <v>0</v>
      </c>
      <c r="O39">
        <v>10</v>
      </c>
    </row>
    <row r="40" spans="1:15" x14ac:dyDescent="0.25">
      <c r="A40" s="1">
        <v>839</v>
      </c>
      <c r="B40" s="24" t="str">
        <f>"Nombre maestro "&amp;tDatosMaestros[[#This Row],[NO_CONTROL]]</f>
        <v>Nombre maestro 839</v>
      </c>
      <c r="C40" s="24" t="s">
        <v>51</v>
      </c>
      <c r="D40" s="1">
        <v>5</v>
      </c>
      <c r="E40" s="1" t="s">
        <v>31</v>
      </c>
      <c r="F40" t="s">
        <v>9</v>
      </c>
      <c r="G40" t="s">
        <v>10</v>
      </c>
      <c r="H40" t="s">
        <v>115</v>
      </c>
      <c r="I40">
        <v>3</v>
      </c>
      <c r="J40">
        <v>2</v>
      </c>
      <c r="K40">
        <f>IF(tDatosMaestros[[#This Row],[TIPO PROFESOR]]="HRS", 3,2)</f>
        <v>3</v>
      </c>
      <c r="L40" t="str">
        <f>_xlfn.IFNA( INDEX(LaboratoriosID[ID], MATCH( INDEX(LaboratoriosMaterias[Laboratorio], MATCH(tDatosMaestros[[#This Row],[ASIGNATURA]],LaboratoriosMaterias[Materia],0)), LaboratoriosID[Laboratorio],0)), "")</f>
        <v>LF</v>
      </c>
      <c r="M40" t="str">
        <f>_xlfn.IFNA( INDEX(LaboratoriosID[ID], MATCH( INDEX(LaboratoriosMaterias[LaboratorioB], MATCH(tDatosMaestros[[#This Row],[ASIGNATURA]],LaboratoriosMaterias[Materia],0)), LaboratoriosID[Laboratorio],0)), "")</f>
        <v/>
      </c>
      <c r="N40">
        <v>0</v>
      </c>
      <c r="O40">
        <v>10</v>
      </c>
    </row>
    <row r="41" spans="1:15" x14ac:dyDescent="0.25">
      <c r="A41" s="1">
        <v>839</v>
      </c>
      <c r="B41" s="24" t="str">
        <f>"Nombre maestro "&amp;tDatosMaestros[[#This Row],[NO_CONTROL]]</f>
        <v>Nombre maestro 839</v>
      </c>
      <c r="C41" s="24" t="s">
        <v>51</v>
      </c>
      <c r="D41" s="1">
        <v>5</v>
      </c>
      <c r="E41" s="1" t="s">
        <v>33</v>
      </c>
      <c r="F41" t="s">
        <v>9</v>
      </c>
      <c r="G41" t="s">
        <v>10</v>
      </c>
      <c r="H41" t="s">
        <v>115</v>
      </c>
      <c r="I41">
        <v>3</v>
      </c>
      <c r="J41">
        <v>2</v>
      </c>
      <c r="K41">
        <f>IF(tDatosMaestros[[#This Row],[TIPO PROFESOR]]="HRS", 3,2)</f>
        <v>3</v>
      </c>
      <c r="L41" t="str">
        <f>_xlfn.IFNA( INDEX(LaboratoriosID[ID], MATCH( INDEX(LaboratoriosMaterias[Laboratorio], MATCH(tDatosMaestros[[#This Row],[ASIGNATURA]],LaboratoriosMaterias[Materia],0)), LaboratoriosID[Laboratorio],0)), "")</f>
        <v>LF</v>
      </c>
      <c r="M41" t="str">
        <f>_xlfn.IFNA( INDEX(LaboratoriosID[ID], MATCH( INDEX(LaboratoriosMaterias[LaboratorioB], MATCH(tDatosMaestros[[#This Row],[ASIGNATURA]],LaboratoriosMaterias[Materia],0)), LaboratoriosID[Laboratorio],0)), "")</f>
        <v/>
      </c>
      <c r="N41">
        <v>0</v>
      </c>
      <c r="O41">
        <v>10</v>
      </c>
    </row>
    <row r="42" spans="1:15" x14ac:dyDescent="0.25">
      <c r="A42" s="1">
        <v>1017</v>
      </c>
      <c r="B42" s="24" t="str">
        <f>"Nombre maestro "&amp;tDatosMaestros[[#This Row],[NO_CONTROL]]</f>
        <v>Nombre maestro 1017</v>
      </c>
      <c r="C42" s="24" t="s">
        <v>51</v>
      </c>
      <c r="D42" s="1">
        <v>5</v>
      </c>
      <c r="E42" s="1" t="s">
        <v>36</v>
      </c>
      <c r="F42" t="s">
        <v>9</v>
      </c>
      <c r="G42" t="s">
        <v>10</v>
      </c>
      <c r="H42" t="s">
        <v>115</v>
      </c>
      <c r="I42">
        <v>3</v>
      </c>
      <c r="J42">
        <v>2</v>
      </c>
      <c r="K42">
        <f>IF(tDatosMaestros[[#This Row],[TIPO PROFESOR]]="HRS", 3,2)</f>
        <v>3</v>
      </c>
      <c r="L42" t="str">
        <f>_xlfn.IFNA( INDEX(LaboratoriosID[ID], MATCH( INDEX(LaboratoriosMaterias[Laboratorio], MATCH(tDatosMaestros[[#This Row],[ASIGNATURA]],LaboratoriosMaterias[Materia],0)), LaboratoriosID[Laboratorio],0)), "")</f>
        <v>LF</v>
      </c>
      <c r="M42" t="str">
        <f>_xlfn.IFNA( INDEX(LaboratoriosID[ID], MATCH( INDEX(LaboratoriosMaterias[LaboratorioB], MATCH(tDatosMaestros[[#This Row],[ASIGNATURA]],LaboratoriosMaterias[Materia],0)), LaboratoriosID[Laboratorio],0)), "")</f>
        <v/>
      </c>
      <c r="N42">
        <v>0</v>
      </c>
      <c r="O42">
        <v>10</v>
      </c>
    </row>
    <row r="43" spans="1:15" x14ac:dyDescent="0.25">
      <c r="A43" s="1">
        <v>1906</v>
      </c>
      <c r="B43" s="24" t="str">
        <f>"Nombre maestro "&amp;tDatosMaestros[[#This Row],[NO_CONTROL]]</f>
        <v>Nombre maestro 1906</v>
      </c>
      <c r="C43" s="24" t="s">
        <v>51</v>
      </c>
      <c r="D43" s="1">
        <v>5</v>
      </c>
      <c r="E43" s="1" t="s">
        <v>32</v>
      </c>
      <c r="F43" t="s">
        <v>9</v>
      </c>
      <c r="G43" t="s">
        <v>10</v>
      </c>
      <c r="H43" t="s">
        <v>115</v>
      </c>
      <c r="I43">
        <v>3</v>
      </c>
      <c r="J43">
        <v>2</v>
      </c>
      <c r="K43">
        <f>IF(tDatosMaestros[[#This Row],[TIPO PROFESOR]]="HRS", 3,2)</f>
        <v>3</v>
      </c>
      <c r="L43" t="str">
        <f>_xlfn.IFNA( INDEX(LaboratoriosID[ID], MATCH( INDEX(LaboratoriosMaterias[Laboratorio], MATCH(tDatosMaestros[[#This Row],[ASIGNATURA]],LaboratoriosMaterias[Materia],0)), LaboratoriosID[Laboratorio],0)), "")</f>
        <v>LF</v>
      </c>
      <c r="M43" t="str">
        <f>_xlfn.IFNA( INDEX(LaboratoriosID[ID], MATCH( INDEX(LaboratoriosMaterias[LaboratorioB], MATCH(tDatosMaestros[[#This Row],[ASIGNATURA]],LaboratoriosMaterias[Materia],0)), LaboratoriosID[Laboratorio],0)), "")</f>
        <v/>
      </c>
      <c r="N43">
        <v>0</v>
      </c>
      <c r="O43">
        <v>10</v>
      </c>
    </row>
    <row r="44" spans="1:15" x14ac:dyDescent="0.25">
      <c r="A44" s="1">
        <v>1906</v>
      </c>
      <c r="B44" s="24" t="str">
        <f>"Nombre maestro "&amp;tDatosMaestros[[#This Row],[NO_CONTROL]]</f>
        <v>Nombre maestro 1906</v>
      </c>
      <c r="C44" s="24" t="s">
        <v>51</v>
      </c>
      <c r="D44" s="1">
        <v>5</v>
      </c>
      <c r="E44" s="1" t="s">
        <v>34</v>
      </c>
      <c r="F44" t="s">
        <v>9</v>
      </c>
      <c r="G44" t="s">
        <v>10</v>
      </c>
      <c r="H44" t="s">
        <v>115</v>
      </c>
      <c r="I44">
        <v>3</v>
      </c>
      <c r="J44">
        <v>2</v>
      </c>
      <c r="K44">
        <f>IF(tDatosMaestros[[#This Row],[TIPO PROFESOR]]="HRS", 3,2)</f>
        <v>3</v>
      </c>
      <c r="L44" t="str">
        <f>_xlfn.IFNA( INDEX(LaboratoriosID[ID], MATCH( INDEX(LaboratoriosMaterias[Laboratorio], MATCH(tDatosMaestros[[#This Row],[ASIGNATURA]],LaboratoriosMaterias[Materia],0)), LaboratoriosID[Laboratorio],0)), "")</f>
        <v>LF</v>
      </c>
      <c r="M44" t="str">
        <f>_xlfn.IFNA( INDEX(LaboratoriosID[ID], MATCH( INDEX(LaboratoriosMaterias[LaboratorioB], MATCH(tDatosMaestros[[#This Row],[ASIGNATURA]],LaboratoriosMaterias[Materia],0)), LaboratoriosID[Laboratorio],0)), "")</f>
        <v/>
      </c>
      <c r="N44">
        <v>0</v>
      </c>
      <c r="O44">
        <v>10</v>
      </c>
    </row>
    <row r="45" spans="1:15" x14ac:dyDescent="0.25">
      <c r="A45" s="1">
        <v>1906</v>
      </c>
      <c r="B45" s="24" t="str">
        <f>"Nombre maestro "&amp;tDatosMaestros[[#This Row],[NO_CONTROL]]</f>
        <v>Nombre maestro 1906</v>
      </c>
      <c r="C45" s="24" t="s">
        <v>51</v>
      </c>
      <c r="D45" s="1">
        <v>5</v>
      </c>
      <c r="E45" s="1" t="s">
        <v>35</v>
      </c>
      <c r="F45" t="s">
        <v>9</v>
      </c>
      <c r="G45" t="s">
        <v>10</v>
      </c>
      <c r="H45" t="s">
        <v>115</v>
      </c>
      <c r="I45">
        <v>3</v>
      </c>
      <c r="J45">
        <v>2</v>
      </c>
      <c r="K45">
        <f>IF(tDatosMaestros[[#This Row],[TIPO PROFESOR]]="HRS", 3,2)</f>
        <v>3</v>
      </c>
      <c r="L45" t="str">
        <f>_xlfn.IFNA( INDEX(LaboratoriosID[ID], MATCH( INDEX(LaboratoriosMaterias[Laboratorio], MATCH(tDatosMaestros[[#This Row],[ASIGNATURA]],LaboratoriosMaterias[Materia],0)), LaboratoriosID[Laboratorio],0)), "")</f>
        <v>LF</v>
      </c>
      <c r="M45" t="str">
        <f>_xlfn.IFNA( INDEX(LaboratoriosID[ID], MATCH( INDEX(LaboratoriosMaterias[LaboratorioB], MATCH(tDatosMaestros[[#This Row],[ASIGNATURA]],LaboratoriosMaterias[Materia],0)), LaboratoriosID[Laboratorio],0)), "")</f>
        <v/>
      </c>
      <c r="N45">
        <v>0</v>
      </c>
      <c r="O45">
        <v>10</v>
      </c>
    </row>
    <row r="46" spans="1:15" x14ac:dyDescent="0.25">
      <c r="A46" s="1">
        <v>4318</v>
      </c>
      <c r="B46" s="24" t="str">
        <f>"Nombre maestro "&amp;tDatosMaestros[[#This Row],[NO_CONTROL]]</f>
        <v>Nombre maestro 4318</v>
      </c>
      <c r="C46" s="24" t="s">
        <v>51</v>
      </c>
      <c r="D46" s="1">
        <v>5</v>
      </c>
      <c r="E46" s="1" t="s">
        <v>37</v>
      </c>
      <c r="F46" t="s">
        <v>9</v>
      </c>
      <c r="G46" t="s">
        <v>10</v>
      </c>
      <c r="H46" t="s">
        <v>115</v>
      </c>
      <c r="I46">
        <v>3</v>
      </c>
      <c r="J46">
        <v>2</v>
      </c>
      <c r="K46" s="3">
        <f>IF(tDatosMaestros[[#This Row],[TIPO PROFESOR]]="HRS", 3,2)</f>
        <v>3</v>
      </c>
      <c r="L46" t="str">
        <f>_xlfn.IFNA( INDEX(LaboratoriosID[ID], MATCH( INDEX(LaboratoriosMaterias[Laboratorio], MATCH(tDatosMaestros[[#This Row],[ASIGNATURA]],LaboratoriosMaterias[Materia],0)), LaboratoriosID[Laboratorio],0)), "")</f>
        <v>LF</v>
      </c>
      <c r="M46" t="str">
        <f>_xlfn.IFNA( INDEX(LaboratoriosID[ID], MATCH( INDEX(LaboratoriosMaterias[LaboratorioB], MATCH(tDatosMaestros[[#This Row],[ASIGNATURA]],LaboratoriosMaterias[Materia],0)), LaboratoriosID[Laboratorio],0)), "")</f>
        <v/>
      </c>
      <c r="N46">
        <v>0</v>
      </c>
      <c r="O46">
        <v>10</v>
      </c>
    </row>
    <row r="47" spans="1:15" x14ac:dyDescent="0.25">
      <c r="A47" s="1">
        <v>4318</v>
      </c>
      <c r="B47" s="24" t="str">
        <f>"Nombre maestro "&amp;tDatosMaestros[[#This Row],[NO_CONTROL]]</f>
        <v>Nombre maestro 4318</v>
      </c>
      <c r="C47" s="24" t="s">
        <v>51</v>
      </c>
      <c r="D47" s="1">
        <v>5</v>
      </c>
      <c r="E47" s="1" t="s">
        <v>14</v>
      </c>
      <c r="F47" t="s">
        <v>9</v>
      </c>
      <c r="G47" t="s">
        <v>10</v>
      </c>
      <c r="H47" t="s">
        <v>115</v>
      </c>
      <c r="I47">
        <v>3</v>
      </c>
      <c r="J47">
        <v>2</v>
      </c>
      <c r="K47" s="4">
        <f>IF(tDatosMaestros[[#This Row],[TIPO PROFESOR]]="HRS", 3,2)</f>
        <v>3</v>
      </c>
      <c r="L47" t="str">
        <f>_xlfn.IFNA( INDEX(LaboratoriosID[ID], MATCH( INDEX(LaboratoriosMaterias[Laboratorio], MATCH(tDatosMaestros[[#This Row],[ASIGNATURA]],LaboratoriosMaterias[Materia],0)), LaboratoriosID[Laboratorio],0)), "")</f>
        <v>LF</v>
      </c>
      <c r="M47" t="str">
        <f>_xlfn.IFNA( INDEX(LaboratoriosID[ID], MATCH( INDEX(LaboratoriosMaterias[LaboratorioB], MATCH(tDatosMaestros[[#This Row],[ASIGNATURA]],LaboratoriosMaterias[Materia],0)), LaboratoriosID[Laboratorio],0)), "")</f>
        <v/>
      </c>
      <c r="N47">
        <v>0</v>
      </c>
      <c r="O47">
        <v>10</v>
      </c>
    </row>
    <row r="48" spans="1:15" x14ac:dyDescent="0.25">
      <c r="A48" s="2">
        <v>1260</v>
      </c>
      <c r="B48" s="25" t="str">
        <f>"Nombre maestro "&amp;tDatosMaestros[[#This Row],[NO_CONTROL]]</f>
        <v>Nombre maestro 1260</v>
      </c>
      <c r="C48" s="25" t="s">
        <v>62</v>
      </c>
      <c r="D48" s="2">
        <v>5</v>
      </c>
      <c r="E48" s="2" t="s">
        <v>35</v>
      </c>
      <c r="F48" s="3" t="s">
        <v>9</v>
      </c>
      <c r="G48" s="3" t="s">
        <v>23</v>
      </c>
      <c r="H48" t="s">
        <v>130</v>
      </c>
      <c r="I48">
        <v>3</v>
      </c>
      <c r="J48">
        <v>2</v>
      </c>
      <c r="K48">
        <f>IF(tDatosMaestros[[#This Row],[TIPO PROFESOR]]="HRS", 3,2)</f>
        <v>2</v>
      </c>
      <c r="L48" t="str">
        <f>_xlfn.IFNA( INDEX(LaboratoriosID[ID], MATCH( INDEX(LaboratoriosMaterias[Laboratorio], MATCH(tDatosMaestros[[#This Row],[ASIGNATURA]],LaboratoriosMaterias[Materia],0)), LaboratoriosID[Laboratorio],0)), "")</f>
        <v>LB</v>
      </c>
      <c r="M48" t="str">
        <f>_xlfn.IFNA( INDEX(LaboratoriosID[ID], MATCH( INDEX(LaboratoriosMaterias[LaboratorioB], MATCH(tDatosMaestros[[#This Row],[ASIGNATURA]],LaboratoriosMaterias[Materia],0)), LaboratoriosID[Laboratorio],0)), "")</f>
        <v/>
      </c>
      <c r="N48">
        <v>0</v>
      </c>
      <c r="O48">
        <v>10</v>
      </c>
    </row>
    <row r="49" spans="1:15" x14ac:dyDescent="0.25">
      <c r="A49" s="2">
        <v>1260</v>
      </c>
      <c r="B49" s="25" t="str">
        <f>"Nombre maestro "&amp;tDatosMaestros[[#This Row],[NO_CONTROL]]</f>
        <v>Nombre maestro 1260</v>
      </c>
      <c r="C49" s="25" t="s">
        <v>62</v>
      </c>
      <c r="D49" s="2">
        <v>5</v>
      </c>
      <c r="E49" s="2" t="s">
        <v>36</v>
      </c>
      <c r="F49" s="3" t="s">
        <v>9</v>
      </c>
      <c r="G49" s="3" t="s">
        <v>23</v>
      </c>
      <c r="H49" t="s">
        <v>130</v>
      </c>
      <c r="I49">
        <v>3</v>
      </c>
      <c r="J49">
        <v>2</v>
      </c>
      <c r="K49">
        <f>IF(tDatosMaestros[[#This Row],[TIPO PROFESOR]]="HRS", 3,2)</f>
        <v>2</v>
      </c>
      <c r="L49" t="str">
        <f>_xlfn.IFNA( INDEX(LaboratoriosID[ID], MATCH( INDEX(LaboratoriosMaterias[Laboratorio], MATCH(tDatosMaestros[[#This Row],[ASIGNATURA]],LaboratoriosMaterias[Materia],0)), LaboratoriosID[Laboratorio],0)), "")</f>
        <v>LB</v>
      </c>
      <c r="M49" t="str">
        <f>_xlfn.IFNA( INDEX(LaboratoriosID[ID], MATCH( INDEX(LaboratoriosMaterias[LaboratorioB], MATCH(tDatosMaestros[[#This Row],[ASIGNATURA]],LaboratoriosMaterias[Materia],0)), LaboratoriosID[Laboratorio],0)), "")</f>
        <v/>
      </c>
      <c r="N49">
        <v>0</v>
      </c>
      <c r="O49">
        <v>10</v>
      </c>
    </row>
    <row r="50" spans="1:15" x14ac:dyDescent="0.25">
      <c r="A50" s="1">
        <v>3686</v>
      </c>
      <c r="B50" s="24" t="str">
        <f>"Nombre maestro "&amp;tDatosMaestros[[#This Row],[NO_CONTROL]]</f>
        <v>Nombre maestro 3686</v>
      </c>
      <c r="C50" s="24" t="s">
        <v>62</v>
      </c>
      <c r="D50" s="1">
        <v>5</v>
      </c>
      <c r="E50" s="1" t="s">
        <v>14</v>
      </c>
      <c r="F50" t="s">
        <v>9</v>
      </c>
      <c r="G50" t="s">
        <v>10</v>
      </c>
      <c r="H50" t="s">
        <v>130</v>
      </c>
      <c r="I50">
        <v>3</v>
      </c>
      <c r="J50">
        <v>2</v>
      </c>
      <c r="K50">
        <f>IF(tDatosMaestros[[#This Row],[TIPO PROFESOR]]="HRS", 3,2)</f>
        <v>3</v>
      </c>
      <c r="L50" t="str">
        <f>_xlfn.IFNA( INDEX(LaboratoriosID[ID], MATCH( INDEX(LaboratoriosMaterias[Laboratorio], MATCH(tDatosMaestros[[#This Row],[ASIGNATURA]],LaboratoriosMaterias[Materia],0)), LaboratoriosID[Laboratorio],0)), "")</f>
        <v>LB</v>
      </c>
      <c r="M50" t="str">
        <f>_xlfn.IFNA( INDEX(LaboratoriosID[ID], MATCH( INDEX(LaboratoriosMaterias[LaboratorioB], MATCH(tDatosMaestros[[#This Row],[ASIGNATURA]],LaboratoriosMaterias[Materia],0)), LaboratoriosID[Laboratorio],0)), "")</f>
        <v/>
      </c>
      <c r="N50">
        <v>0</v>
      </c>
      <c r="O50">
        <v>10</v>
      </c>
    </row>
    <row r="51" spans="1:15" x14ac:dyDescent="0.25">
      <c r="A51" s="1">
        <v>4318</v>
      </c>
      <c r="B51" s="24" t="str">
        <f>"Nombre maestro "&amp;tDatosMaestros[[#This Row],[NO_CONTROL]]</f>
        <v>Nombre maestro 4318</v>
      </c>
      <c r="C51" s="24" t="s">
        <v>73</v>
      </c>
      <c r="D51" s="1">
        <v>5</v>
      </c>
      <c r="E51" s="1" t="s">
        <v>37</v>
      </c>
      <c r="F51" t="s">
        <v>9</v>
      </c>
      <c r="G51" t="s">
        <v>10</v>
      </c>
      <c r="H51" t="s">
        <v>140</v>
      </c>
      <c r="I51">
        <v>3</v>
      </c>
      <c r="J51">
        <v>2</v>
      </c>
      <c r="K51" s="3">
        <f>IF(tDatosMaestros[[#This Row],[TIPO PROFESOR]]="HRS", 3,2)</f>
        <v>3</v>
      </c>
      <c r="L51" t="str">
        <f>_xlfn.IFNA( INDEX(LaboratoriosID[ID], MATCH( INDEX(LaboratoriosMaterias[Laboratorio], MATCH(tDatosMaestros[[#This Row],[ASIGNATURA]],LaboratoriosMaterias[Materia],0)), LaboratoriosID[Laboratorio],0)), "")</f>
        <v>LB</v>
      </c>
      <c r="M51" t="str">
        <f>_xlfn.IFNA( INDEX(LaboratoriosID[ID], MATCH( INDEX(LaboratoriosMaterias[LaboratorioB], MATCH(tDatosMaestros[[#This Row],[ASIGNATURA]],LaboratoriosMaterias[Materia],0)), LaboratoriosID[Laboratorio],0)), "")</f>
        <v/>
      </c>
      <c r="N51">
        <v>0</v>
      </c>
      <c r="O51">
        <v>10</v>
      </c>
    </row>
    <row r="52" spans="1:15" x14ac:dyDescent="0.25">
      <c r="A52" s="27">
        <v>1017</v>
      </c>
      <c r="B52" s="28" t="str">
        <f>"Nombre maestro "&amp;tDatosMaestros[[#This Row],[NO_CONTROL]]</f>
        <v>Nombre maestro 1017</v>
      </c>
      <c r="C52" s="28" t="s">
        <v>117</v>
      </c>
      <c r="D52" s="27">
        <v>8</v>
      </c>
      <c r="E52" s="27" t="s">
        <v>31</v>
      </c>
      <c r="F52" s="29" t="s">
        <v>9</v>
      </c>
      <c r="G52" s="29" t="s">
        <v>10</v>
      </c>
      <c r="H52" s="29" t="s">
        <v>118</v>
      </c>
      <c r="I52" s="29">
        <v>5</v>
      </c>
      <c r="J52" s="29">
        <v>3</v>
      </c>
      <c r="K52">
        <f>IF(tDatosMaestros[[#This Row],[TIPO PROFESOR]]="HRS", 3,2)</f>
        <v>3</v>
      </c>
      <c r="L52" t="str">
        <f>_xlfn.IFNA( INDEX(LaboratoriosID[ID], MATCH( INDEX(LaboratoriosMaterias[Laboratorio], MATCH(tDatosMaestros[[#This Row],[ASIGNATURA]],LaboratoriosMaterias[Materia],0)), LaboratoriosID[Laboratorio],0)), "")</f>
        <v>TE</v>
      </c>
      <c r="M52" t="str">
        <f>_xlfn.IFNA( INDEX(LaboratoriosID[ID], MATCH( INDEX(LaboratoriosMaterias[LaboratorioB], MATCH(tDatosMaestros[[#This Row],[ASIGNATURA]],LaboratoriosMaterias[Materia],0)), LaboratoriosID[Laboratorio],0)), "")</f>
        <v/>
      </c>
      <c r="N52">
        <v>0</v>
      </c>
      <c r="O52">
        <v>9</v>
      </c>
    </row>
    <row r="53" spans="1:15" x14ac:dyDescent="0.25">
      <c r="A53" s="1">
        <v>1017</v>
      </c>
      <c r="B53" s="24" t="str">
        <f>"Nombre maestro "&amp;tDatosMaestros[[#This Row],[NO_CONTROL]]</f>
        <v>Nombre maestro 1017</v>
      </c>
      <c r="C53" s="24" t="s">
        <v>53</v>
      </c>
      <c r="D53" s="1">
        <v>5</v>
      </c>
      <c r="E53" s="1" t="s">
        <v>22</v>
      </c>
      <c r="F53" t="s">
        <v>9</v>
      </c>
      <c r="G53" t="s">
        <v>10</v>
      </c>
      <c r="H53" t="s">
        <v>119</v>
      </c>
      <c r="I53">
        <v>3</v>
      </c>
      <c r="J53">
        <v>2</v>
      </c>
      <c r="K53">
        <f>IF(tDatosMaestros[[#This Row],[TIPO PROFESOR]]="HRS", 3,2)</f>
        <v>3</v>
      </c>
      <c r="L53" t="str">
        <f>_xlfn.IFNA( INDEX(LaboratoriosID[ID], MATCH( INDEX(LaboratoriosMaterias[Laboratorio], MATCH(tDatosMaestros[[#This Row],[ASIGNATURA]],LaboratoriosMaterias[Materia],0)), LaboratoriosID[Laboratorio],0)), "")</f>
        <v>TE</v>
      </c>
      <c r="M53" t="str">
        <f>_xlfn.IFNA( INDEX(LaboratoriosID[ID], MATCH( INDEX(LaboratoriosMaterias[LaboratorioB], MATCH(tDatosMaestros[[#This Row],[ASIGNATURA]],LaboratoriosMaterias[Materia],0)), LaboratoriosID[Laboratorio],0)), "")</f>
        <v/>
      </c>
      <c r="N53">
        <v>0</v>
      </c>
      <c r="O53">
        <v>9</v>
      </c>
    </row>
    <row r="54" spans="1:15" x14ac:dyDescent="0.25">
      <c r="A54" s="27">
        <v>1017</v>
      </c>
      <c r="B54" s="28" t="str">
        <f>"Nombre maestro "&amp;tDatosMaestros[[#This Row],[NO_CONTROL]]</f>
        <v>Nombre maestro 1017</v>
      </c>
      <c r="C54" s="28" t="s">
        <v>54</v>
      </c>
      <c r="D54" s="27">
        <v>8</v>
      </c>
      <c r="E54" s="27" t="s">
        <v>22</v>
      </c>
      <c r="F54" s="29" t="s">
        <v>9</v>
      </c>
      <c r="G54" s="29" t="s">
        <v>10</v>
      </c>
      <c r="H54" s="29" t="s">
        <v>120</v>
      </c>
      <c r="I54" s="29">
        <v>5</v>
      </c>
      <c r="J54" s="29">
        <v>3</v>
      </c>
      <c r="K54">
        <f>IF(tDatosMaestros[[#This Row],[TIPO PROFESOR]]="HRS", 3,2)</f>
        <v>3</v>
      </c>
      <c r="L54" t="str">
        <f>_xlfn.IFNA( INDEX(LaboratoriosID[ID], MATCH( INDEX(LaboratoriosMaterias[Laboratorio], MATCH(tDatosMaestros[[#This Row],[ASIGNATURA]],LaboratoriosMaterias[Materia],0)), LaboratoriosID[Laboratorio],0)), "")</f>
        <v>TE</v>
      </c>
      <c r="M54" t="str">
        <f>_xlfn.IFNA( INDEX(LaboratoriosID[ID], MATCH( INDEX(LaboratoriosMaterias[LaboratorioB], MATCH(tDatosMaestros[[#This Row],[ASIGNATURA]],LaboratoriosMaterias[Materia],0)), LaboratoriosID[Laboratorio],0)), "")</f>
        <v/>
      </c>
      <c r="N54">
        <v>0</v>
      </c>
      <c r="O54">
        <v>9</v>
      </c>
    </row>
    <row r="55" spans="1:15" x14ac:dyDescent="0.25">
      <c r="A55" s="1">
        <v>1230</v>
      </c>
      <c r="B55" s="24" t="str">
        <f>"Nombre maestro "&amp;tDatosMaestros[[#This Row],[NO_CONTROL]]</f>
        <v>Nombre maestro 1230</v>
      </c>
      <c r="C55" s="24" t="s">
        <v>63</v>
      </c>
      <c r="D55" s="1">
        <v>5</v>
      </c>
      <c r="E55" s="1" t="s">
        <v>31</v>
      </c>
      <c r="F55" t="s">
        <v>9</v>
      </c>
      <c r="G55" t="s">
        <v>10</v>
      </c>
      <c r="H55" t="s">
        <v>131</v>
      </c>
      <c r="I55">
        <v>3</v>
      </c>
      <c r="J55">
        <v>2</v>
      </c>
      <c r="K55">
        <f>IF(tDatosMaestros[[#This Row],[TIPO PROFESOR]]="HRS", 3,2)</f>
        <v>3</v>
      </c>
      <c r="L55" t="str">
        <f>_xlfn.IFNA( INDEX(LaboratoriosID[ID], MATCH( INDEX(LaboratoriosMaterias[Laboratorio], MATCH(tDatosMaestros[[#This Row],[ASIGNATURA]],LaboratoriosMaterias[Materia],0)), LaboratoriosID[Laboratorio],0)), "")</f>
        <v>TE</v>
      </c>
      <c r="M55" t="str">
        <f>_xlfn.IFNA( INDEX(LaboratoriosID[ID], MATCH( INDEX(LaboratoriosMaterias[LaboratorioB], MATCH(tDatosMaestros[[#This Row],[ASIGNATURA]],LaboratoriosMaterias[Materia],0)), LaboratoriosID[Laboratorio],0)), "")</f>
        <v/>
      </c>
      <c r="N55">
        <v>0</v>
      </c>
      <c r="O55">
        <v>9</v>
      </c>
    </row>
    <row r="56" spans="1:15" x14ac:dyDescent="0.25">
      <c r="A56" s="2">
        <v>76</v>
      </c>
      <c r="B56" s="25" t="str">
        <f>"Nombre maestro "&amp;tDatosMaestros[[#This Row],[NO_CONTROL]]</f>
        <v>Nombre maestro 76</v>
      </c>
      <c r="C56" s="25" t="s">
        <v>27</v>
      </c>
      <c r="D56" s="2">
        <v>5</v>
      </c>
      <c r="E56" s="2" t="s">
        <v>28</v>
      </c>
      <c r="F56" s="3" t="s">
        <v>9</v>
      </c>
      <c r="G56" s="3" t="s">
        <v>23</v>
      </c>
      <c r="H56" t="s">
        <v>104</v>
      </c>
      <c r="K56">
        <f>IF(tDatosMaestros[[#This Row],[TIPO PROFESOR]]="HRS", 3,2)</f>
        <v>2</v>
      </c>
      <c r="L56" t="str">
        <f>_xlfn.IFNA( INDEX(LaboratoriosID[ID], MATCH( INDEX(LaboratoriosMaterias[Laboratorio], MATCH(tDatosMaestros[[#This Row],[ASIGNATURA]],LaboratoriosMaterias[Materia],0)), LaboratoriosID[Laboratorio],0)), "")</f>
        <v/>
      </c>
      <c r="M56" t="str">
        <f>_xlfn.IFNA( INDEX(LaboratoriosID[ID], MATCH( INDEX(LaboratoriosMaterias[LaboratorioB], MATCH(tDatosMaestros[[#This Row],[ASIGNATURA]],LaboratoriosMaterias[Materia],0)), LaboratoriosID[Laboratorio],0)), "")</f>
        <v/>
      </c>
      <c r="N56">
        <v>0</v>
      </c>
      <c r="O56">
        <v>0</v>
      </c>
    </row>
    <row r="57" spans="1:15" x14ac:dyDescent="0.25">
      <c r="A57" s="2">
        <v>76</v>
      </c>
      <c r="B57" s="25" t="str">
        <f>"Nombre maestro "&amp;tDatosMaestros[[#This Row],[NO_CONTROL]]</f>
        <v>Nombre maestro 76</v>
      </c>
      <c r="C57" s="25" t="s">
        <v>27</v>
      </c>
      <c r="D57" s="2">
        <v>5</v>
      </c>
      <c r="E57" s="2" t="s">
        <v>29</v>
      </c>
      <c r="F57" s="3" t="s">
        <v>9</v>
      </c>
      <c r="G57" s="3" t="s">
        <v>23</v>
      </c>
      <c r="H57" t="s">
        <v>104</v>
      </c>
      <c r="K57">
        <f>IF(tDatosMaestros[[#This Row],[TIPO PROFESOR]]="HRS", 3,2)</f>
        <v>2</v>
      </c>
      <c r="L57" t="str">
        <f>_xlfn.IFNA( INDEX(LaboratoriosID[ID], MATCH( INDEX(LaboratoriosMaterias[Laboratorio], MATCH(tDatosMaestros[[#This Row],[ASIGNATURA]],LaboratoriosMaterias[Materia],0)), LaboratoriosID[Laboratorio],0)), "")</f>
        <v/>
      </c>
      <c r="M57" t="str">
        <f>_xlfn.IFNA( INDEX(LaboratoriosID[ID], MATCH( INDEX(LaboratoriosMaterias[LaboratorioB], MATCH(tDatosMaestros[[#This Row],[ASIGNATURA]],LaboratoriosMaterias[Materia],0)), LaboratoriosID[Laboratorio],0)), "")</f>
        <v/>
      </c>
      <c r="N57">
        <v>0</v>
      </c>
      <c r="O57">
        <v>0</v>
      </c>
    </row>
    <row r="58" spans="1:15" x14ac:dyDescent="0.25">
      <c r="A58" s="1">
        <v>347</v>
      </c>
      <c r="B58" s="24" t="str">
        <f>"Nombre maestro "&amp;tDatosMaestros[[#This Row],[NO_CONTROL]]</f>
        <v>Nombre maestro 347</v>
      </c>
      <c r="C58" s="24" t="s">
        <v>38</v>
      </c>
      <c r="D58" s="1">
        <v>5</v>
      </c>
      <c r="E58" s="1" t="s">
        <v>31</v>
      </c>
      <c r="F58" t="s">
        <v>9</v>
      </c>
      <c r="G58" t="s">
        <v>10</v>
      </c>
      <c r="H58" t="s">
        <v>105</v>
      </c>
      <c r="K58">
        <f>IF(tDatosMaestros[[#This Row],[TIPO PROFESOR]]="HRS", 3,2)</f>
        <v>3</v>
      </c>
      <c r="L58" t="str">
        <f>_xlfn.IFNA( INDEX(LaboratoriosID[ID], MATCH( INDEX(LaboratoriosMaterias[Laboratorio], MATCH(tDatosMaestros[[#This Row],[ASIGNATURA]],LaboratoriosMaterias[Materia],0)), LaboratoriosID[Laboratorio],0)), "")</f>
        <v/>
      </c>
      <c r="M58" t="str">
        <f>_xlfn.IFNA( INDEX(LaboratoriosID[ID], MATCH( INDEX(LaboratoriosMaterias[LaboratorioB], MATCH(tDatosMaestros[[#This Row],[ASIGNATURA]],LaboratoriosMaterias[Materia],0)), LaboratoriosID[Laboratorio],0)), "")</f>
        <v/>
      </c>
      <c r="N58">
        <v>0</v>
      </c>
      <c r="O58">
        <v>0</v>
      </c>
    </row>
    <row r="59" spans="1:15" x14ac:dyDescent="0.25">
      <c r="A59" s="1">
        <v>347</v>
      </c>
      <c r="B59" s="24" t="str">
        <f>"Nombre maestro "&amp;tDatosMaestros[[#This Row],[NO_CONTROL]]</f>
        <v>Nombre maestro 347</v>
      </c>
      <c r="C59" s="24" t="s">
        <v>38</v>
      </c>
      <c r="D59" s="1">
        <v>5</v>
      </c>
      <c r="E59" s="1" t="s">
        <v>32</v>
      </c>
      <c r="F59" t="s">
        <v>9</v>
      </c>
      <c r="G59" t="s">
        <v>10</v>
      </c>
      <c r="H59" t="s">
        <v>105</v>
      </c>
      <c r="K59">
        <f>IF(tDatosMaestros[[#This Row],[TIPO PROFESOR]]="HRS", 3,2)</f>
        <v>3</v>
      </c>
      <c r="L59" t="str">
        <f>_xlfn.IFNA( INDEX(LaboratoriosID[ID], MATCH( INDEX(LaboratoriosMaterias[Laboratorio], MATCH(tDatosMaestros[[#This Row],[ASIGNATURA]],LaboratoriosMaterias[Materia],0)), LaboratoriosID[Laboratorio],0)), "")</f>
        <v/>
      </c>
      <c r="M59" t="str">
        <f>_xlfn.IFNA( INDEX(LaboratoriosID[ID], MATCH( INDEX(LaboratoriosMaterias[LaboratorioB], MATCH(tDatosMaestros[[#This Row],[ASIGNATURA]],LaboratoriosMaterias[Materia],0)), LaboratoriosID[Laboratorio],0)), "")</f>
        <v/>
      </c>
      <c r="N59">
        <v>0</v>
      </c>
      <c r="O59">
        <v>0</v>
      </c>
    </row>
    <row r="60" spans="1:15" x14ac:dyDescent="0.25">
      <c r="A60" s="1">
        <v>347</v>
      </c>
      <c r="B60" s="24" t="str">
        <f>"Nombre maestro "&amp;tDatosMaestros[[#This Row],[NO_CONTROL]]</f>
        <v>Nombre maestro 347</v>
      </c>
      <c r="C60" s="24" t="s">
        <v>38</v>
      </c>
      <c r="D60" s="1">
        <v>5</v>
      </c>
      <c r="E60" s="1" t="s">
        <v>33</v>
      </c>
      <c r="F60" t="s">
        <v>9</v>
      </c>
      <c r="G60" t="s">
        <v>10</v>
      </c>
      <c r="H60" t="s">
        <v>105</v>
      </c>
      <c r="K60">
        <f>IF(tDatosMaestros[[#This Row],[TIPO PROFESOR]]="HRS", 3,2)</f>
        <v>3</v>
      </c>
      <c r="L60" t="str">
        <f>_xlfn.IFNA( INDEX(LaboratoriosID[ID], MATCH( INDEX(LaboratoriosMaterias[Laboratorio], MATCH(tDatosMaestros[[#This Row],[ASIGNATURA]],LaboratoriosMaterias[Materia],0)), LaboratoriosID[Laboratorio],0)), "")</f>
        <v/>
      </c>
      <c r="M60" t="str">
        <f>_xlfn.IFNA( INDEX(LaboratoriosID[ID], MATCH( INDEX(LaboratoriosMaterias[LaboratorioB], MATCH(tDatosMaestros[[#This Row],[ASIGNATURA]],LaboratoriosMaterias[Materia],0)), LaboratoriosID[Laboratorio],0)), "")</f>
        <v/>
      </c>
      <c r="N60">
        <v>0</v>
      </c>
      <c r="O60">
        <v>0</v>
      </c>
    </row>
    <row r="61" spans="1:15" x14ac:dyDescent="0.25">
      <c r="A61" s="1">
        <v>347</v>
      </c>
      <c r="B61" s="24" t="str">
        <f>"Nombre maestro "&amp;tDatosMaestros[[#This Row],[NO_CONTROL]]</f>
        <v>Nombre maestro 347</v>
      </c>
      <c r="C61" s="24" t="s">
        <v>38</v>
      </c>
      <c r="D61" s="1">
        <v>5</v>
      </c>
      <c r="E61" s="1" t="s">
        <v>34</v>
      </c>
      <c r="F61" t="s">
        <v>9</v>
      </c>
      <c r="G61" t="s">
        <v>10</v>
      </c>
      <c r="H61" t="s">
        <v>105</v>
      </c>
      <c r="K61">
        <f>IF(tDatosMaestros[[#This Row],[TIPO PROFESOR]]="HRS", 3,2)</f>
        <v>3</v>
      </c>
      <c r="L61" t="str">
        <f>_xlfn.IFNA( INDEX(LaboratoriosID[ID], MATCH( INDEX(LaboratoriosMaterias[Laboratorio], MATCH(tDatosMaestros[[#This Row],[ASIGNATURA]],LaboratoriosMaterias[Materia],0)), LaboratoriosID[Laboratorio],0)), "")</f>
        <v/>
      </c>
      <c r="M61" t="str">
        <f>_xlfn.IFNA( INDEX(LaboratoriosID[ID], MATCH( INDEX(LaboratoriosMaterias[LaboratorioB], MATCH(tDatosMaestros[[#This Row],[ASIGNATURA]],LaboratoriosMaterias[Materia],0)), LaboratoriosID[Laboratorio],0)), "")</f>
        <v/>
      </c>
      <c r="N61">
        <v>0</v>
      </c>
      <c r="O61">
        <v>0</v>
      </c>
    </row>
    <row r="62" spans="1:15" x14ac:dyDescent="0.25">
      <c r="A62" s="1">
        <v>439</v>
      </c>
      <c r="B62" s="24" t="str">
        <f>"Nombre maestro "&amp;tDatosMaestros[[#This Row],[NO_CONTROL]]</f>
        <v>Nombre maestro 439</v>
      </c>
      <c r="C62" s="24" t="s">
        <v>45</v>
      </c>
      <c r="D62" s="1">
        <v>4</v>
      </c>
      <c r="E62" s="1" t="s">
        <v>30</v>
      </c>
      <c r="F62" t="s">
        <v>9</v>
      </c>
      <c r="G62" t="s">
        <v>10</v>
      </c>
      <c r="H62" t="s">
        <v>112</v>
      </c>
      <c r="K62">
        <f>IF(tDatosMaestros[[#This Row],[TIPO PROFESOR]]="HRS", 3,2)</f>
        <v>3</v>
      </c>
      <c r="L62" t="str">
        <f>_xlfn.IFNA( INDEX(LaboratoriosID[ID], MATCH( INDEX(LaboratoriosMaterias[Laboratorio], MATCH(tDatosMaestros[[#This Row],[ASIGNATURA]],LaboratoriosMaterias[Materia],0)), LaboratoriosID[Laboratorio],0)), "")</f>
        <v/>
      </c>
      <c r="M62" t="str">
        <f>_xlfn.IFNA( INDEX(LaboratoriosID[ID], MATCH( INDEX(LaboratoriosMaterias[LaboratorioB], MATCH(tDatosMaestros[[#This Row],[ASIGNATURA]],LaboratoriosMaterias[Materia],0)), LaboratoriosID[Laboratorio],0)), "")</f>
        <v/>
      </c>
      <c r="N62">
        <v>0</v>
      </c>
      <c r="O62">
        <v>0</v>
      </c>
    </row>
    <row r="63" spans="1:15" x14ac:dyDescent="0.25">
      <c r="A63" s="1">
        <v>1230</v>
      </c>
      <c r="B63" s="24" t="str">
        <f>"Nombre maestro "&amp;tDatosMaestros[[#This Row],[NO_CONTROL]]</f>
        <v>Nombre maestro 1230</v>
      </c>
      <c r="C63" s="24" t="s">
        <v>65</v>
      </c>
      <c r="D63" s="1">
        <v>4</v>
      </c>
      <c r="E63" s="1" t="s">
        <v>22</v>
      </c>
      <c r="F63" t="s">
        <v>9</v>
      </c>
      <c r="G63" t="s">
        <v>10</v>
      </c>
      <c r="H63" t="s">
        <v>132</v>
      </c>
      <c r="K63">
        <f>IF(tDatosMaestros[[#This Row],[TIPO PROFESOR]]="HRS", 3,2)</f>
        <v>3</v>
      </c>
      <c r="L63" t="str">
        <f>_xlfn.IFNA( INDEX(LaboratoriosID[ID], MATCH( INDEX(LaboratoriosMaterias[Laboratorio], MATCH(tDatosMaestros[[#This Row],[ASIGNATURA]],LaboratoriosMaterias[Materia],0)), LaboratoriosID[Laboratorio],0)), "")</f>
        <v/>
      </c>
      <c r="M63" t="str">
        <f>_xlfn.IFNA( INDEX(LaboratoriosID[ID], MATCH( INDEX(LaboratoriosMaterias[LaboratorioB], MATCH(tDatosMaestros[[#This Row],[ASIGNATURA]],LaboratoriosMaterias[Materia],0)), LaboratoriosID[Laboratorio],0)), "")</f>
        <v/>
      </c>
      <c r="N63">
        <v>0</v>
      </c>
      <c r="O63">
        <v>0</v>
      </c>
    </row>
    <row r="64" spans="1:15" x14ac:dyDescent="0.25">
      <c r="A64" s="1">
        <v>1230</v>
      </c>
      <c r="B64" s="24" t="str">
        <f>"Nombre maestro "&amp;tDatosMaestros[[#This Row],[NO_CONTROL]]</f>
        <v>Nombre maestro 1230</v>
      </c>
      <c r="C64" s="24" t="s">
        <v>65</v>
      </c>
      <c r="D64" s="1">
        <v>4</v>
      </c>
      <c r="E64" s="1" t="s">
        <v>24</v>
      </c>
      <c r="F64" t="s">
        <v>9</v>
      </c>
      <c r="G64" t="s">
        <v>10</v>
      </c>
      <c r="H64" t="s">
        <v>132</v>
      </c>
      <c r="K64">
        <f>IF(tDatosMaestros[[#This Row],[TIPO PROFESOR]]="HRS", 3,2)</f>
        <v>3</v>
      </c>
      <c r="L64" t="str">
        <f>_xlfn.IFNA( INDEX(LaboratoriosID[ID], MATCH( INDEX(LaboratoriosMaterias[Laboratorio], MATCH(tDatosMaestros[[#This Row],[ASIGNATURA]],LaboratoriosMaterias[Materia],0)), LaboratoriosID[Laboratorio],0)), "")</f>
        <v/>
      </c>
      <c r="M64" t="str">
        <f>_xlfn.IFNA( INDEX(LaboratoriosID[ID], MATCH( INDEX(LaboratoriosMaterias[LaboratorioB], MATCH(tDatosMaestros[[#This Row],[ASIGNATURA]],LaboratoriosMaterias[Materia],0)), LaboratoriosID[Laboratorio],0)), "")</f>
        <v/>
      </c>
      <c r="N64">
        <v>0</v>
      </c>
      <c r="O64">
        <v>0</v>
      </c>
    </row>
    <row r="65" spans="1:15" x14ac:dyDescent="0.25">
      <c r="A65" s="1">
        <v>1230</v>
      </c>
      <c r="B65" s="24" t="str">
        <f>"Nombre maestro "&amp;tDatosMaestros[[#This Row],[NO_CONTROL]]</f>
        <v>Nombre maestro 1230</v>
      </c>
      <c r="C65" s="24" t="s">
        <v>65</v>
      </c>
      <c r="D65" s="1">
        <v>4</v>
      </c>
      <c r="E65" s="1" t="s">
        <v>25</v>
      </c>
      <c r="F65" t="s">
        <v>9</v>
      </c>
      <c r="G65" t="s">
        <v>10</v>
      </c>
      <c r="H65" t="s">
        <v>132</v>
      </c>
      <c r="K65">
        <f>IF(tDatosMaestros[[#This Row],[TIPO PROFESOR]]="HRS", 3,2)</f>
        <v>3</v>
      </c>
      <c r="L65" t="str">
        <f>_xlfn.IFNA( INDEX(LaboratoriosID[ID], MATCH( INDEX(LaboratoriosMaterias[Laboratorio], MATCH(tDatosMaestros[[#This Row],[ASIGNATURA]],LaboratoriosMaterias[Materia],0)), LaboratoriosID[Laboratorio],0)), "")</f>
        <v/>
      </c>
      <c r="M65" t="str">
        <f>_xlfn.IFNA( INDEX(LaboratoriosID[ID], MATCH( INDEX(LaboratoriosMaterias[LaboratorioB], MATCH(tDatosMaestros[[#This Row],[ASIGNATURA]],LaboratoriosMaterias[Materia],0)), LaboratoriosID[Laboratorio],0)), "")</f>
        <v/>
      </c>
      <c r="N65">
        <v>0</v>
      </c>
      <c r="O65">
        <v>0</v>
      </c>
    </row>
    <row r="66" spans="1:15" x14ac:dyDescent="0.25">
      <c r="A66" s="1">
        <v>1230</v>
      </c>
      <c r="B66" s="24" t="str">
        <f>"Nombre maestro "&amp;tDatosMaestros[[#This Row],[NO_CONTROL]]</f>
        <v>Nombre maestro 1230</v>
      </c>
      <c r="C66" s="24" t="s">
        <v>65</v>
      </c>
      <c r="D66" s="1">
        <v>4</v>
      </c>
      <c r="E66" s="1" t="s">
        <v>26</v>
      </c>
      <c r="F66" t="s">
        <v>9</v>
      </c>
      <c r="G66" t="s">
        <v>10</v>
      </c>
      <c r="H66" t="s">
        <v>132</v>
      </c>
      <c r="K66">
        <f>IF(tDatosMaestros[[#This Row],[TIPO PROFESOR]]="HRS", 3,2)</f>
        <v>3</v>
      </c>
      <c r="L66" t="str">
        <f>_xlfn.IFNA( INDEX(LaboratoriosID[ID], MATCH( INDEX(LaboratoriosMaterias[Laboratorio], MATCH(tDatosMaestros[[#This Row],[ASIGNATURA]],LaboratoriosMaterias[Materia],0)), LaboratoriosID[Laboratorio],0)), "")</f>
        <v/>
      </c>
      <c r="M66" t="str">
        <f>_xlfn.IFNA( INDEX(LaboratoriosID[ID], MATCH( INDEX(LaboratoriosMaterias[LaboratorioB], MATCH(tDatosMaestros[[#This Row],[ASIGNATURA]],LaboratoriosMaterias[Materia],0)), LaboratoriosID[Laboratorio],0)), "")</f>
        <v/>
      </c>
      <c r="N66">
        <v>0</v>
      </c>
      <c r="O66">
        <v>0</v>
      </c>
    </row>
    <row r="67" spans="1:15" x14ac:dyDescent="0.25">
      <c r="A67" s="1">
        <v>1374</v>
      </c>
      <c r="B67" s="24" t="str">
        <f>"Nombre maestro "&amp;tDatosMaestros[[#This Row],[NO_CONTROL]]</f>
        <v>Nombre maestro 1374</v>
      </c>
      <c r="C67" s="24" t="s">
        <v>44</v>
      </c>
      <c r="D67" s="1">
        <v>4</v>
      </c>
      <c r="E67" s="1" t="s">
        <v>48</v>
      </c>
      <c r="F67" t="s">
        <v>9</v>
      </c>
      <c r="G67" t="s">
        <v>10</v>
      </c>
      <c r="H67" t="s">
        <v>111</v>
      </c>
      <c r="K67">
        <f>IF(tDatosMaestros[[#This Row],[TIPO PROFESOR]]="HRS", 3,2)</f>
        <v>3</v>
      </c>
      <c r="L67" t="str">
        <f>_xlfn.IFNA( INDEX(LaboratoriosID[ID], MATCH( INDEX(LaboratoriosMaterias[Laboratorio], MATCH(tDatosMaestros[[#This Row],[ASIGNATURA]],LaboratoriosMaterias[Materia],0)), LaboratoriosID[Laboratorio],0)), "")</f>
        <v/>
      </c>
      <c r="M67" t="str">
        <f>_xlfn.IFNA( INDEX(LaboratoriosID[ID], MATCH( INDEX(LaboratoriosMaterias[LaboratorioB], MATCH(tDatosMaestros[[#This Row],[ASIGNATURA]],LaboratoriosMaterias[Materia],0)), LaboratoriosID[Laboratorio],0)), "")</f>
        <v/>
      </c>
      <c r="N67">
        <v>0</v>
      </c>
      <c r="O67">
        <v>0</v>
      </c>
    </row>
    <row r="68" spans="1:15" x14ac:dyDescent="0.25">
      <c r="A68" s="1">
        <v>1374</v>
      </c>
      <c r="B68" s="24" t="str">
        <f>"Nombre maestro "&amp;tDatosMaestros[[#This Row],[NO_CONTROL]]</f>
        <v>Nombre maestro 1374</v>
      </c>
      <c r="C68" s="24" t="s">
        <v>57</v>
      </c>
      <c r="D68" s="1">
        <v>4</v>
      </c>
      <c r="E68" s="1" t="s">
        <v>47</v>
      </c>
      <c r="F68" t="s">
        <v>9</v>
      </c>
      <c r="G68" t="s">
        <v>10</v>
      </c>
      <c r="H68" t="s">
        <v>125</v>
      </c>
      <c r="K68">
        <f>IF(tDatosMaestros[[#This Row],[TIPO PROFESOR]]="HRS", 3,2)</f>
        <v>3</v>
      </c>
      <c r="L68" t="str">
        <f>_xlfn.IFNA( INDEX(LaboratoriosID[ID], MATCH( INDEX(LaboratoriosMaterias[Laboratorio], MATCH(tDatosMaestros[[#This Row],[ASIGNATURA]],LaboratoriosMaterias[Materia],0)), LaboratoriosID[Laboratorio],0)), "")</f>
        <v/>
      </c>
      <c r="M68" t="str">
        <f>_xlfn.IFNA( INDEX(LaboratoriosID[ID], MATCH( INDEX(LaboratoriosMaterias[LaboratorioB], MATCH(tDatosMaestros[[#This Row],[ASIGNATURA]],LaboratoriosMaterias[Materia],0)), LaboratoriosID[Laboratorio],0)), "")</f>
        <v/>
      </c>
      <c r="N68">
        <v>0</v>
      </c>
      <c r="O68">
        <v>0</v>
      </c>
    </row>
    <row r="69" spans="1:15" x14ac:dyDescent="0.25">
      <c r="A69" s="1">
        <v>1906</v>
      </c>
      <c r="B69" s="24" t="str">
        <f>"Nombre maestro "&amp;tDatosMaestros[[#This Row],[NO_CONTROL]]</f>
        <v>Nombre maestro 1906</v>
      </c>
      <c r="C69" s="24" t="s">
        <v>42</v>
      </c>
      <c r="D69" s="1">
        <v>5</v>
      </c>
      <c r="E69" s="1" t="s">
        <v>17</v>
      </c>
      <c r="F69" t="s">
        <v>9</v>
      </c>
      <c r="G69" t="s">
        <v>10</v>
      </c>
      <c r="H69" t="s">
        <v>110</v>
      </c>
      <c r="K69">
        <f>IF(tDatosMaestros[[#This Row],[TIPO PROFESOR]]="HRS", 3,2)</f>
        <v>3</v>
      </c>
      <c r="L69" t="str">
        <f>_xlfn.IFNA( INDEX(LaboratoriosID[ID], MATCH( INDEX(LaboratoriosMaterias[Laboratorio], MATCH(tDatosMaestros[[#This Row],[ASIGNATURA]],LaboratoriosMaterias[Materia],0)), LaboratoriosID[Laboratorio],0)), "")</f>
        <v/>
      </c>
      <c r="M69" t="str">
        <f>_xlfn.IFNA( INDEX(LaboratoriosID[ID], MATCH( INDEX(LaboratoriosMaterias[LaboratorioB], MATCH(tDatosMaestros[[#This Row],[ASIGNATURA]],LaboratoriosMaterias[Materia],0)), LaboratoriosID[Laboratorio],0)), "")</f>
        <v/>
      </c>
      <c r="N69">
        <v>0</v>
      </c>
      <c r="O69">
        <v>0</v>
      </c>
    </row>
    <row r="70" spans="1:15" x14ac:dyDescent="0.25">
      <c r="A70" s="1">
        <v>1906</v>
      </c>
      <c r="B70" s="24" t="str">
        <f>"Nombre maestro "&amp;tDatosMaestros[[#This Row],[NO_CONTROL]]</f>
        <v>Nombre maestro 1906</v>
      </c>
      <c r="C70" s="24" t="s">
        <v>27</v>
      </c>
      <c r="D70" s="1">
        <v>5</v>
      </c>
      <c r="E70" s="1" t="s">
        <v>22</v>
      </c>
      <c r="F70" t="s">
        <v>9</v>
      </c>
      <c r="G70" t="s">
        <v>10</v>
      </c>
      <c r="H70" t="s">
        <v>104</v>
      </c>
      <c r="K70">
        <f>IF(tDatosMaestros[[#This Row],[TIPO PROFESOR]]="HRS", 3,2)</f>
        <v>3</v>
      </c>
      <c r="L70" t="str">
        <f>_xlfn.IFNA( INDEX(LaboratoriosID[ID], MATCH( INDEX(LaboratoriosMaterias[Laboratorio], MATCH(tDatosMaestros[[#This Row],[ASIGNATURA]],LaboratoriosMaterias[Materia],0)), LaboratoriosID[Laboratorio],0)), "")</f>
        <v/>
      </c>
      <c r="M70" t="str">
        <f>_xlfn.IFNA( INDEX(LaboratoriosID[ID], MATCH( INDEX(LaboratoriosMaterias[LaboratorioB], MATCH(tDatosMaestros[[#This Row],[ASIGNATURA]],LaboratoriosMaterias[Materia],0)), LaboratoriosID[Laboratorio],0)), "")</f>
        <v/>
      </c>
      <c r="N70">
        <v>0</v>
      </c>
      <c r="O70">
        <v>0</v>
      </c>
    </row>
    <row r="71" spans="1:15" x14ac:dyDescent="0.25">
      <c r="A71" s="1">
        <v>2593</v>
      </c>
      <c r="B71" s="24" t="str">
        <f>"Nombre maestro "&amp;tDatosMaestros[[#This Row],[NO_CONTROL]]</f>
        <v>Nombre maestro 2593</v>
      </c>
      <c r="C71" s="24" t="s">
        <v>19</v>
      </c>
      <c r="D71" s="1">
        <v>4</v>
      </c>
      <c r="E71" s="1" t="s">
        <v>20</v>
      </c>
      <c r="F71" t="s">
        <v>9</v>
      </c>
      <c r="G71" t="s">
        <v>10</v>
      </c>
      <c r="H71" t="s">
        <v>102</v>
      </c>
      <c r="K71">
        <f>IF(tDatosMaestros[[#This Row],[TIPO PROFESOR]]="HRS", 3,2)</f>
        <v>3</v>
      </c>
      <c r="L71" t="str">
        <f>_xlfn.IFNA( INDEX(LaboratoriosID[ID], MATCH( INDEX(LaboratoriosMaterias[Laboratorio], MATCH(tDatosMaestros[[#This Row],[ASIGNATURA]],LaboratoriosMaterias[Materia],0)), LaboratoriosID[Laboratorio],0)), "")</f>
        <v/>
      </c>
      <c r="M71" t="str">
        <f>_xlfn.IFNA( INDEX(LaboratoriosID[ID], MATCH( INDEX(LaboratoriosMaterias[LaboratorioB], MATCH(tDatosMaestros[[#This Row],[ASIGNATURA]],LaboratoriosMaterias[Materia],0)), LaboratoriosID[Laboratorio],0)), "")</f>
        <v/>
      </c>
      <c r="N71">
        <v>0</v>
      </c>
      <c r="O71">
        <v>0</v>
      </c>
    </row>
    <row r="72" spans="1:15" x14ac:dyDescent="0.25">
      <c r="A72" s="1">
        <v>2593</v>
      </c>
      <c r="B72" s="24" t="str">
        <f>"Nombre maestro "&amp;tDatosMaestros[[#This Row],[NO_CONTROL]]</f>
        <v>Nombre maestro 2593</v>
      </c>
      <c r="C72" s="24" t="s">
        <v>19</v>
      </c>
      <c r="D72" s="1">
        <v>4</v>
      </c>
      <c r="E72" s="1" t="s">
        <v>16</v>
      </c>
      <c r="F72" t="s">
        <v>9</v>
      </c>
      <c r="G72" t="s">
        <v>10</v>
      </c>
      <c r="H72" t="s">
        <v>102</v>
      </c>
      <c r="K72">
        <f>IF(tDatosMaestros[[#This Row],[TIPO PROFESOR]]="HRS", 3,2)</f>
        <v>3</v>
      </c>
      <c r="L72" t="str">
        <f>_xlfn.IFNA( INDEX(LaboratoriosID[ID], MATCH( INDEX(LaboratoriosMaterias[Laboratorio], MATCH(tDatosMaestros[[#This Row],[ASIGNATURA]],LaboratoriosMaterias[Materia],0)), LaboratoriosID[Laboratorio],0)), "")</f>
        <v/>
      </c>
      <c r="M72" t="str">
        <f>_xlfn.IFNA( INDEX(LaboratoriosID[ID], MATCH( INDEX(LaboratoriosMaterias[LaboratorioB], MATCH(tDatosMaestros[[#This Row],[ASIGNATURA]],LaboratoriosMaterias[Materia],0)), LaboratoriosID[Laboratorio],0)), "")</f>
        <v/>
      </c>
      <c r="N72">
        <v>0</v>
      </c>
      <c r="O72">
        <v>0</v>
      </c>
    </row>
    <row r="73" spans="1:15" x14ac:dyDescent="0.25">
      <c r="A73" s="1">
        <v>3686</v>
      </c>
      <c r="B73" s="24" t="str">
        <f>"Nombre maestro "&amp;tDatosMaestros[[#This Row],[NO_CONTROL]]</f>
        <v>Nombre maestro 3686</v>
      </c>
      <c r="C73" s="24" t="s">
        <v>55</v>
      </c>
      <c r="D73" s="1">
        <v>4</v>
      </c>
      <c r="E73" s="1" t="s">
        <v>28</v>
      </c>
      <c r="F73" t="s">
        <v>9</v>
      </c>
      <c r="G73" t="s">
        <v>10</v>
      </c>
      <c r="H73" t="s">
        <v>123</v>
      </c>
      <c r="K73">
        <f>IF(tDatosMaestros[[#This Row],[TIPO PROFESOR]]="HRS", 3,2)</f>
        <v>3</v>
      </c>
      <c r="L73" t="str">
        <f>_xlfn.IFNA( INDEX(LaboratoriosID[ID], MATCH( INDEX(LaboratoriosMaterias[Laboratorio], MATCH(tDatosMaestros[[#This Row],[ASIGNATURA]],LaboratoriosMaterias[Materia],0)), LaboratoriosID[Laboratorio],0)), "")</f>
        <v/>
      </c>
      <c r="M73" t="str">
        <f>_xlfn.IFNA( INDEX(LaboratoriosID[ID], MATCH( INDEX(LaboratoriosMaterias[LaboratorioB], MATCH(tDatosMaestros[[#This Row],[ASIGNATURA]],LaboratoriosMaterias[Materia],0)), LaboratoriosID[Laboratorio],0)), "")</f>
        <v/>
      </c>
      <c r="N73">
        <v>0</v>
      </c>
      <c r="O73">
        <v>0</v>
      </c>
    </row>
    <row r="74" spans="1:15" x14ac:dyDescent="0.25">
      <c r="A74" s="1">
        <v>3976</v>
      </c>
      <c r="B74" s="24" t="str">
        <f>"Nombre maestro "&amp;tDatosMaestros[[#This Row],[NO_CONTROL]]</f>
        <v>Nombre maestro 3976</v>
      </c>
      <c r="C74" s="24" t="s">
        <v>44</v>
      </c>
      <c r="D74" s="1">
        <v>4</v>
      </c>
      <c r="E74" s="1" t="s">
        <v>31</v>
      </c>
      <c r="F74" t="s">
        <v>9</v>
      </c>
      <c r="G74" t="s">
        <v>10</v>
      </c>
      <c r="H74" t="s">
        <v>111</v>
      </c>
      <c r="K74">
        <f>IF(tDatosMaestros[[#This Row],[TIPO PROFESOR]]="HRS", 3,2)</f>
        <v>3</v>
      </c>
      <c r="L74" t="str">
        <f>_xlfn.IFNA( INDEX(LaboratoriosID[ID], MATCH( INDEX(LaboratoriosMaterias[Laboratorio], MATCH(tDatosMaestros[[#This Row],[ASIGNATURA]],LaboratoriosMaterias[Materia],0)), LaboratoriosID[Laboratorio],0)), "")</f>
        <v/>
      </c>
      <c r="M74" t="str">
        <f>_xlfn.IFNA( INDEX(LaboratoriosID[ID], MATCH( INDEX(LaboratoriosMaterias[LaboratorioB], MATCH(tDatosMaestros[[#This Row],[ASIGNATURA]],LaboratoriosMaterias[Materia],0)), LaboratoriosID[Laboratorio],0)), "")</f>
        <v/>
      </c>
      <c r="N74">
        <v>0</v>
      </c>
      <c r="O74">
        <v>0</v>
      </c>
    </row>
    <row r="75" spans="1:15" x14ac:dyDescent="0.25">
      <c r="A75" s="1">
        <v>3976</v>
      </c>
      <c r="B75" s="24" t="str">
        <f>"Nombre maestro "&amp;tDatosMaestros[[#This Row],[NO_CONTROL]]</f>
        <v>Nombre maestro 3976</v>
      </c>
      <c r="C75" s="24" t="s">
        <v>44</v>
      </c>
      <c r="D75" s="1">
        <v>4</v>
      </c>
      <c r="E75" s="1" t="s">
        <v>32</v>
      </c>
      <c r="F75" t="s">
        <v>9</v>
      </c>
      <c r="G75" t="s">
        <v>10</v>
      </c>
      <c r="H75" t="s">
        <v>111</v>
      </c>
      <c r="K75">
        <f>IF(tDatosMaestros[[#This Row],[TIPO PROFESOR]]="HRS", 3,2)</f>
        <v>3</v>
      </c>
      <c r="L75" t="str">
        <f>_xlfn.IFNA( INDEX(LaboratoriosID[ID], MATCH( INDEX(LaboratoriosMaterias[Laboratorio], MATCH(tDatosMaestros[[#This Row],[ASIGNATURA]],LaboratoriosMaterias[Materia],0)), LaboratoriosID[Laboratorio],0)), "")</f>
        <v/>
      </c>
      <c r="M75" t="str">
        <f>_xlfn.IFNA( INDEX(LaboratoriosID[ID], MATCH( INDEX(LaboratoriosMaterias[LaboratorioB], MATCH(tDatosMaestros[[#This Row],[ASIGNATURA]],LaboratoriosMaterias[Materia],0)), LaboratoriosID[Laboratorio],0)), "")</f>
        <v/>
      </c>
      <c r="N75">
        <v>0</v>
      </c>
      <c r="O75">
        <v>0</v>
      </c>
    </row>
    <row r="76" spans="1:15" x14ac:dyDescent="0.25">
      <c r="A76" s="1">
        <v>3976</v>
      </c>
      <c r="B76" s="24" t="str">
        <f>"Nombre maestro "&amp;tDatosMaestros[[#This Row],[NO_CONTROL]]</f>
        <v>Nombre maestro 3976</v>
      </c>
      <c r="C76" s="24" t="s">
        <v>44</v>
      </c>
      <c r="D76" s="1">
        <v>4</v>
      </c>
      <c r="E76" s="1" t="s">
        <v>33</v>
      </c>
      <c r="F76" t="s">
        <v>9</v>
      </c>
      <c r="G76" t="s">
        <v>10</v>
      </c>
      <c r="H76" t="s">
        <v>111</v>
      </c>
      <c r="K76">
        <f>IF(tDatosMaestros[[#This Row],[TIPO PROFESOR]]="HRS", 3,2)</f>
        <v>3</v>
      </c>
      <c r="L76" t="str">
        <f>_xlfn.IFNA( INDEX(LaboratoriosID[ID], MATCH( INDEX(LaboratoriosMaterias[Laboratorio], MATCH(tDatosMaestros[[#This Row],[ASIGNATURA]],LaboratoriosMaterias[Materia],0)), LaboratoriosID[Laboratorio],0)), "")</f>
        <v/>
      </c>
      <c r="M76" t="str">
        <f>_xlfn.IFNA( INDEX(LaboratoriosID[ID], MATCH( INDEX(LaboratoriosMaterias[LaboratorioB], MATCH(tDatosMaestros[[#This Row],[ASIGNATURA]],LaboratoriosMaterias[Materia],0)), LaboratoriosID[Laboratorio],0)), "")</f>
        <v/>
      </c>
      <c r="N76">
        <v>0</v>
      </c>
      <c r="O76">
        <v>0</v>
      </c>
    </row>
    <row r="77" spans="1:15" x14ac:dyDescent="0.25">
      <c r="A77" s="1">
        <v>3976</v>
      </c>
      <c r="B77" s="24" t="str">
        <f>"Nombre maestro "&amp;tDatosMaestros[[#This Row],[NO_CONTROL]]</f>
        <v>Nombre maestro 3976</v>
      </c>
      <c r="C77" s="24" t="s">
        <v>44</v>
      </c>
      <c r="D77" s="1">
        <v>4</v>
      </c>
      <c r="E77" s="1" t="s">
        <v>34</v>
      </c>
      <c r="F77" t="s">
        <v>9</v>
      </c>
      <c r="G77" t="s">
        <v>10</v>
      </c>
      <c r="H77" t="s">
        <v>111</v>
      </c>
      <c r="K77">
        <f>IF(tDatosMaestros[[#This Row],[TIPO PROFESOR]]="HRS", 3,2)</f>
        <v>3</v>
      </c>
      <c r="L77" t="str">
        <f>_xlfn.IFNA( INDEX(LaboratoriosID[ID], MATCH( INDEX(LaboratoriosMaterias[Laboratorio], MATCH(tDatosMaestros[[#This Row],[ASIGNATURA]],LaboratoriosMaterias[Materia],0)), LaboratoriosID[Laboratorio],0)), "")</f>
        <v/>
      </c>
      <c r="M77" t="str">
        <f>_xlfn.IFNA( INDEX(LaboratoriosID[ID], MATCH( INDEX(LaboratoriosMaterias[LaboratorioB], MATCH(tDatosMaestros[[#This Row],[ASIGNATURA]],LaboratoriosMaterias[Materia],0)), LaboratoriosID[Laboratorio],0)), "")</f>
        <v/>
      </c>
      <c r="N77">
        <v>0</v>
      </c>
      <c r="O77">
        <v>0</v>
      </c>
    </row>
    <row r="78" spans="1:15" x14ac:dyDescent="0.25">
      <c r="A78" s="1">
        <v>3976</v>
      </c>
      <c r="B78" s="24" t="str">
        <f>"Nombre maestro "&amp;tDatosMaestros[[#This Row],[NO_CONTROL]]</f>
        <v>Nombre maestro 3976</v>
      </c>
      <c r="C78" s="24" t="s">
        <v>44</v>
      </c>
      <c r="D78" s="1">
        <v>4</v>
      </c>
      <c r="E78" s="1" t="s">
        <v>35</v>
      </c>
      <c r="F78" t="s">
        <v>9</v>
      </c>
      <c r="G78" t="s">
        <v>10</v>
      </c>
      <c r="H78" t="s">
        <v>111</v>
      </c>
      <c r="K78">
        <f>IF(tDatosMaestros[[#This Row],[TIPO PROFESOR]]="HRS", 3,2)</f>
        <v>3</v>
      </c>
      <c r="L78" t="str">
        <f>_xlfn.IFNA( INDEX(LaboratoriosID[ID], MATCH( INDEX(LaboratoriosMaterias[Laboratorio], MATCH(tDatosMaestros[[#This Row],[ASIGNATURA]],LaboratoriosMaterias[Materia],0)), LaboratoriosID[Laboratorio],0)), "")</f>
        <v/>
      </c>
      <c r="M78" t="str">
        <f>_xlfn.IFNA( INDEX(LaboratoriosID[ID], MATCH( INDEX(LaboratoriosMaterias[LaboratorioB], MATCH(tDatosMaestros[[#This Row],[ASIGNATURA]],LaboratoriosMaterias[Materia],0)), LaboratoriosID[Laboratorio],0)), "")</f>
        <v/>
      </c>
      <c r="N78">
        <v>0</v>
      </c>
      <c r="O78">
        <v>0</v>
      </c>
    </row>
    <row r="79" spans="1:15" x14ac:dyDescent="0.25">
      <c r="A79" s="1">
        <v>3976</v>
      </c>
      <c r="B79" s="24" t="str">
        <f>"Nombre maestro "&amp;tDatosMaestros[[#This Row],[NO_CONTROL]]</f>
        <v>Nombre maestro 3976</v>
      </c>
      <c r="C79" s="24" t="s">
        <v>44</v>
      </c>
      <c r="D79" s="1">
        <v>4</v>
      </c>
      <c r="E79" s="1" t="s">
        <v>36</v>
      </c>
      <c r="F79" t="s">
        <v>9</v>
      </c>
      <c r="G79" t="s">
        <v>10</v>
      </c>
      <c r="H79" t="s">
        <v>111</v>
      </c>
      <c r="K79">
        <f>IF(tDatosMaestros[[#This Row],[TIPO PROFESOR]]="HRS", 3,2)</f>
        <v>3</v>
      </c>
      <c r="L79" t="str">
        <f>_xlfn.IFNA( INDEX(LaboratoriosID[ID], MATCH( INDEX(LaboratoriosMaterias[Laboratorio], MATCH(tDatosMaestros[[#This Row],[ASIGNATURA]],LaboratoriosMaterias[Materia],0)), LaboratoriosID[Laboratorio],0)), "")</f>
        <v/>
      </c>
      <c r="M79" t="str">
        <f>_xlfn.IFNA( INDEX(LaboratoriosID[ID], MATCH( INDEX(LaboratoriosMaterias[LaboratorioB], MATCH(tDatosMaestros[[#This Row],[ASIGNATURA]],LaboratoriosMaterias[Materia],0)), LaboratoriosID[Laboratorio],0)), "")</f>
        <v/>
      </c>
      <c r="N79">
        <v>0</v>
      </c>
      <c r="O79">
        <v>0</v>
      </c>
    </row>
    <row r="80" spans="1:15" x14ac:dyDescent="0.25">
      <c r="A80" s="1">
        <v>3976</v>
      </c>
      <c r="B80" s="24" t="str">
        <f>"Nombre maestro "&amp;tDatosMaestros[[#This Row],[NO_CONTROL]]</f>
        <v>Nombre maestro 3976</v>
      </c>
      <c r="C80" s="24" t="s">
        <v>44</v>
      </c>
      <c r="D80" s="1">
        <v>4</v>
      </c>
      <c r="E80" s="1" t="s">
        <v>37</v>
      </c>
      <c r="F80" t="s">
        <v>9</v>
      </c>
      <c r="G80" t="s">
        <v>10</v>
      </c>
      <c r="H80" t="s">
        <v>111</v>
      </c>
      <c r="K80">
        <f>IF(tDatosMaestros[[#This Row],[TIPO PROFESOR]]="HRS", 3,2)</f>
        <v>3</v>
      </c>
      <c r="L80" t="str">
        <f>_xlfn.IFNA( INDEX(LaboratoriosID[ID], MATCH( INDEX(LaboratoriosMaterias[Laboratorio], MATCH(tDatosMaestros[[#This Row],[ASIGNATURA]],LaboratoriosMaterias[Materia],0)), LaboratoriosID[Laboratorio],0)), "")</f>
        <v/>
      </c>
      <c r="M80" t="str">
        <f>_xlfn.IFNA( INDEX(LaboratoriosID[ID], MATCH( INDEX(LaboratoriosMaterias[LaboratorioB], MATCH(tDatosMaestros[[#This Row],[ASIGNATURA]],LaboratoriosMaterias[Materia],0)), LaboratoriosID[Laboratorio],0)), "")</f>
        <v/>
      </c>
      <c r="N80">
        <v>0</v>
      </c>
      <c r="O80">
        <v>0</v>
      </c>
    </row>
    <row r="81" spans="1:15" x14ac:dyDescent="0.25">
      <c r="A81" s="1">
        <v>3976</v>
      </c>
      <c r="B81" s="24" t="str">
        <f>"Nombre maestro "&amp;tDatosMaestros[[#This Row],[NO_CONTROL]]</f>
        <v>Nombre maestro 3976</v>
      </c>
      <c r="C81" s="24" t="s">
        <v>44</v>
      </c>
      <c r="D81" s="1">
        <v>4</v>
      </c>
      <c r="E81" s="1" t="s">
        <v>14</v>
      </c>
      <c r="F81" t="s">
        <v>9</v>
      </c>
      <c r="G81" t="s">
        <v>10</v>
      </c>
      <c r="H81" t="s">
        <v>111</v>
      </c>
      <c r="K81">
        <f>IF(tDatosMaestros[[#This Row],[TIPO PROFESOR]]="HRS", 3,2)</f>
        <v>3</v>
      </c>
      <c r="L81" t="str">
        <f>_xlfn.IFNA( INDEX(LaboratoriosID[ID], MATCH( INDEX(LaboratoriosMaterias[Laboratorio], MATCH(tDatosMaestros[[#This Row],[ASIGNATURA]],LaboratoriosMaterias[Materia],0)), LaboratoriosID[Laboratorio],0)), "")</f>
        <v/>
      </c>
      <c r="M81" t="str">
        <f>_xlfn.IFNA( INDEX(LaboratoriosID[ID], MATCH( INDEX(LaboratoriosMaterias[LaboratorioB], MATCH(tDatosMaestros[[#This Row],[ASIGNATURA]],LaboratoriosMaterias[Materia],0)), LaboratoriosID[Laboratorio],0)), "")</f>
        <v/>
      </c>
      <c r="N81">
        <v>0</v>
      </c>
      <c r="O81">
        <v>0</v>
      </c>
    </row>
    <row r="82" spans="1:15" x14ac:dyDescent="0.25">
      <c r="A82" s="1">
        <v>3976</v>
      </c>
      <c r="B82" s="24" t="str">
        <f>"Nombre maestro "&amp;tDatosMaestros[[#This Row],[NO_CONTROL]]</f>
        <v>Nombre maestro 3976</v>
      </c>
      <c r="C82" s="24" t="s">
        <v>57</v>
      </c>
      <c r="D82" s="1">
        <v>4</v>
      </c>
      <c r="E82" s="1" t="s">
        <v>26</v>
      </c>
      <c r="F82" t="s">
        <v>9</v>
      </c>
      <c r="G82" t="s">
        <v>10</v>
      </c>
      <c r="H82" t="s">
        <v>125</v>
      </c>
      <c r="K82">
        <f>IF(tDatosMaestros[[#This Row],[TIPO PROFESOR]]="HRS", 3,2)</f>
        <v>3</v>
      </c>
      <c r="L82" t="str">
        <f>_xlfn.IFNA( INDEX(LaboratoriosID[ID], MATCH( INDEX(LaboratoriosMaterias[Laboratorio], MATCH(tDatosMaestros[[#This Row],[ASIGNATURA]],LaboratoriosMaterias[Materia],0)), LaboratoriosID[Laboratorio],0)), "")</f>
        <v/>
      </c>
      <c r="M82" t="str">
        <f>_xlfn.IFNA( INDEX(LaboratoriosID[ID], MATCH( INDEX(LaboratoriosMaterias[LaboratorioB], MATCH(tDatosMaestros[[#This Row],[ASIGNATURA]],LaboratoriosMaterias[Materia],0)), LaboratoriosID[Laboratorio],0)), "")</f>
        <v/>
      </c>
      <c r="N82">
        <v>0</v>
      </c>
      <c r="O82">
        <v>0</v>
      </c>
    </row>
    <row r="83" spans="1:15" x14ac:dyDescent="0.25">
      <c r="A83" s="1">
        <v>3976</v>
      </c>
      <c r="B83" s="24" t="str">
        <f>"Nombre maestro "&amp;tDatosMaestros[[#This Row],[NO_CONTROL]]</f>
        <v>Nombre maestro 3976</v>
      </c>
      <c r="C83" s="24" t="s">
        <v>57</v>
      </c>
      <c r="D83" s="1">
        <v>4</v>
      </c>
      <c r="E83" s="1" t="s">
        <v>29</v>
      </c>
      <c r="F83" t="s">
        <v>9</v>
      </c>
      <c r="G83" t="s">
        <v>10</v>
      </c>
      <c r="H83" t="s">
        <v>125</v>
      </c>
      <c r="K83">
        <f>IF(tDatosMaestros[[#This Row],[TIPO PROFESOR]]="HRS", 3,2)</f>
        <v>3</v>
      </c>
      <c r="L83" t="str">
        <f>_xlfn.IFNA( INDEX(LaboratoriosID[ID], MATCH( INDEX(LaboratoriosMaterias[Laboratorio], MATCH(tDatosMaestros[[#This Row],[ASIGNATURA]],LaboratoriosMaterias[Materia],0)), LaboratoriosID[Laboratorio],0)), "")</f>
        <v/>
      </c>
      <c r="M83" t="str">
        <f>_xlfn.IFNA( INDEX(LaboratoriosID[ID], MATCH( INDEX(LaboratoriosMaterias[LaboratorioB], MATCH(tDatosMaestros[[#This Row],[ASIGNATURA]],LaboratoriosMaterias[Materia],0)), LaboratoriosID[Laboratorio],0)), "")</f>
        <v/>
      </c>
      <c r="N83">
        <v>0</v>
      </c>
      <c r="O83">
        <v>0</v>
      </c>
    </row>
    <row r="84" spans="1:15" x14ac:dyDescent="0.25">
      <c r="A84" s="2">
        <v>4407</v>
      </c>
      <c r="B84" s="25" t="str">
        <f>"Nombre maestro "&amp;tDatosMaestros[[#This Row],[NO_CONTROL]]</f>
        <v>Nombre maestro 4407</v>
      </c>
      <c r="C84" s="25" t="s">
        <v>27</v>
      </c>
      <c r="D84" s="2">
        <v>5</v>
      </c>
      <c r="E84" s="2" t="s">
        <v>25</v>
      </c>
      <c r="F84" s="3" t="s">
        <v>9</v>
      </c>
      <c r="G84" s="3" t="s">
        <v>23</v>
      </c>
      <c r="H84" t="s">
        <v>104</v>
      </c>
      <c r="K84" s="4">
        <f>IF(tDatosMaestros[[#This Row],[TIPO PROFESOR]]="HRS", 3,2)</f>
        <v>2</v>
      </c>
      <c r="L84" t="str">
        <f>_xlfn.IFNA( INDEX(LaboratoriosID[ID], MATCH( INDEX(LaboratoriosMaterias[Laboratorio], MATCH(tDatosMaestros[[#This Row],[ASIGNATURA]],LaboratoriosMaterias[Materia],0)), LaboratoriosID[Laboratorio],0)), "")</f>
        <v/>
      </c>
      <c r="M84" t="str">
        <f>_xlfn.IFNA( INDEX(LaboratoriosID[ID], MATCH( INDEX(LaboratoriosMaterias[LaboratorioB], MATCH(tDatosMaestros[[#This Row],[ASIGNATURA]],LaboratoriosMaterias[Materia],0)), LaboratoriosID[Laboratorio],0)), "")</f>
        <v/>
      </c>
      <c r="N84">
        <v>0</v>
      </c>
      <c r="O84">
        <v>0</v>
      </c>
    </row>
    <row r="85" spans="1:15" x14ac:dyDescent="0.25">
      <c r="A85" s="2">
        <v>4407</v>
      </c>
      <c r="B85" s="25" t="str">
        <f>"Nombre maestro "&amp;tDatosMaestros[[#This Row],[NO_CONTROL]]</f>
        <v>Nombre maestro 4407</v>
      </c>
      <c r="C85" s="25" t="s">
        <v>27</v>
      </c>
      <c r="D85" s="2">
        <v>5</v>
      </c>
      <c r="E85" s="2" t="s">
        <v>26</v>
      </c>
      <c r="F85" s="3" t="s">
        <v>9</v>
      </c>
      <c r="G85" s="3" t="s">
        <v>23</v>
      </c>
      <c r="H85" t="s">
        <v>104</v>
      </c>
      <c r="K85" s="4">
        <f>IF(tDatosMaestros[[#This Row],[TIPO PROFESOR]]="HRS", 3,2)</f>
        <v>2</v>
      </c>
      <c r="L85" t="str">
        <f>_xlfn.IFNA( INDEX(LaboratoriosID[ID], MATCH( INDEX(LaboratoriosMaterias[Laboratorio], MATCH(tDatosMaestros[[#This Row],[ASIGNATURA]],LaboratoriosMaterias[Materia],0)), LaboratoriosID[Laboratorio],0)), "")</f>
        <v/>
      </c>
      <c r="M85" t="str">
        <f>_xlfn.IFNA( INDEX(LaboratoriosID[ID], MATCH( INDEX(LaboratoriosMaterias[LaboratorioB], MATCH(tDatosMaestros[[#This Row],[ASIGNATURA]],LaboratoriosMaterias[Materia],0)), LaboratoriosID[Laboratorio],0)), "")</f>
        <v/>
      </c>
      <c r="N85">
        <v>0</v>
      </c>
      <c r="O85">
        <v>0</v>
      </c>
    </row>
    <row r="86" spans="1:15" x14ac:dyDescent="0.25">
      <c r="A86" s="2">
        <v>4407</v>
      </c>
      <c r="B86" s="25" t="str">
        <f>"Nombre maestro "&amp;tDatosMaestros[[#This Row],[NO_CONTROL]]</f>
        <v>Nombre maestro 4407</v>
      </c>
      <c r="C86" s="25" t="s">
        <v>27</v>
      </c>
      <c r="D86" s="2">
        <v>5</v>
      </c>
      <c r="E86" s="2" t="s">
        <v>47</v>
      </c>
      <c r="F86" s="3" t="s">
        <v>9</v>
      </c>
      <c r="G86" s="3" t="s">
        <v>23</v>
      </c>
      <c r="H86" t="s">
        <v>104</v>
      </c>
      <c r="K86" s="4">
        <f>IF(tDatosMaestros[[#This Row],[TIPO PROFESOR]]="HRS", 3,2)</f>
        <v>2</v>
      </c>
      <c r="L86" t="str">
        <f>_xlfn.IFNA( INDEX(LaboratoriosID[ID], MATCH( INDEX(LaboratoriosMaterias[Laboratorio], MATCH(tDatosMaestros[[#This Row],[ASIGNATURA]],LaboratoriosMaterias[Materia],0)), LaboratoriosID[Laboratorio],0)), "")</f>
        <v/>
      </c>
      <c r="M86" t="str">
        <f>_xlfn.IFNA( INDEX(LaboratoriosID[ID], MATCH( INDEX(LaboratoriosMaterias[LaboratorioB], MATCH(tDatosMaestros[[#This Row],[ASIGNATURA]],LaboratoriosMaterias[Materia],0)), LaboratoriosID[Laboratorio],0)), "")</f>
        <v/>
      </c>
      <c r="N86">
        <v>0</v>
      </c>
      <c r="O86">
        <v>0</v>
      </c>
    </row>
    <row r="87" spans="1:15" x14ac:dyDescent="0.25">
      <c r="A87" s="2">
        <v>4407</v>
      </c>
      <c r="B87" s="25" t="str">
        <f>"Nombre maestro "&amp;tDatosMaestros[[#This Row],[NO_CONTROL]]</f>
        <v>Nombre maestro 4407</v>
      </c>
      <c r="C87" s="25" t="s">
        <v>27</v>
      </c>
      <c r="D87" s="2">
        <v>5</v>
      </c>
      <c r="E87" s="2" t="s">
        <v>48</v>
      </c>
      <c r="F87" s="3" t="s">
        <v>9</v>
      </c>
      <c r="G87" s="3" t="s">
        <v>23</v>
      </c>
      <c r="H87" t="s">
        <v>104</v>
      </c>
      <c r="K87" s="4">
        <f>IF(tDatosMaestros[[#This Row],[TIPO PROFESOR]]="HRS", 3,2)</f>
        <v>2</v>
      </c>
      <c r="L87" t="str">
        <f>_xlfn.IFNA( INDEX(LaboratoriosID[ID], MATCH( INDEX(LaboratoriosMaterias[Laboratorio], MATCH(tDatosMaestros[[#This Row],[ASIGNATURA]],LaboratoriosMaterias[Materia],0)), LaboratoriosID[Laboratorio],0)), "")</f>
        <v/>
      </c>
      <c r="M87" t="str">
        <f>_xlfn.IFNA( INDEX(LaboratoriosID[ID], MATCH( INDEX(LaboratoriosMaterias[LaboratorioB], MATCH(tDatosMaestros[[#This Row],[ASIGNATURA]],LaboratoriosMaterias[Materia],0)), LaboratoriosID[Laboratorio],0)), "")</f>
        <v/>
      </c>
      <c r="N87">
        <v>0</v>
      </c>
      <c r="O87">
        <v>0</v>
      </c>
    </row>
    <row r="88" spans="1:15" x14ac:dyDescent="0.25">
      <c r="A88" s="1">
        <v>4431</v>
      </c>
      <c r="B88" s="24" t="str">
        <f>"Nombre maestro "&amp;tDatosMaestros[[#This Row],[NO_CONTROL]]</f>
        <v>Nombre maestro 4431</v>
      </c>
      <c r="C88" s="24" t="s">
        <v>46</v>
      </c>
      <c r="D88" s="1">
        <v>4</v>
      </c>
      <c r="E88" s="1" t="s">
        <v>28</v>
      </c>
      <c r="F88" t="s">
        <v>9</v>
      </c>
      <c r="G88" t="s">
        <v>10</v>
      </c>
      <c r="H88" t="s">
        <v>113</v>
      </c>
      <c r="K88">
        <f>IF(tDatosMaestros[[#This Row],[TIPO PROFESOR]]="HRS", 3,2)</f>
        <v>3</v>
      </c>
      <c r="L88" t="str">
        <f>_xlfn.IFNA( INDEX(LaboratoriosID[ID], MATCH( INDEX(LaboratoriosMaterias[Laboratorio], MATCH(tDatosMaestros[[#This Row],[ASIGNATURA]],LaboratoriosMaterias[Materia],0)), LaboratoriosID[Laboratorio],0)), "")</f>
        <v/>
      </c>
      <c r="M88" t="str">
        <f>_xlfn.IFNA( INDEX(LaboratoriosID[ID], MATCH( INDEX(LaboratoriosMaterias[LaboratorioB], MATCH(tDatosMaestros[[#This Row],[ASIGNATURA]],LaboratoriosMaterias[Materia],0)), LaboratoriosID[Laboratorio],0)), "")</f>
        <v/>
      </c>
      <c r="N88">
        <v>0</v>
      </c>
      <c r="O88">
        <v>0</v>
      </c>
    </row>
    <row r="89" spans="1:15" x14ac:dyDescent="0.25">
      <c r="A89" s="1">
        <v>4431</v>
      </c>
      <c r="B89" s="24" t="str">
        <f>"Nombre maestro "&amp;tDatosMaestros[[#This Row],[NO_CONTROL]]</f>
        <v>Nombre maestro 4431</v>
      </c>
      <c r="C89" s="24" t="s">
        <v>46</v>
      </c>
      <c r="D89" s="1">
        <v>4</v>
      </c>
      <c r="E89" s="1" t="s">
        <v>29</v>
      </c>
      <c r="F89" t="s">
        <v>9</v>
      </c>
      <c r="G89" t="s">
        <v>10</v>
      </c>
      <c r="H89" t="s">
        <v>113</v>
      </c>
      <c r="K89">
        <f>IF(tDatosMaestros[[#This Row],[TIPO PROFESOR]]="HRS", 3,2)</f>
        <v>3</v>
      </c>
      <c r="L89" t="str">
        <f>_xlfn.IFNA( INDEX(LaboratoriosID[ID], MATCH( INDEX(LaboratoriosMaterias[Laboratorio], MATCH(tDatosMaestros[[#This Row],[ASIGNATURA]],LaboratoriosMaterias[Materia],0)), LaboratoriosID[Laboratorio],0)), "")</f>
        <v/>
      </c>
      <c r="M89" t="str">
        <f>_xlfn.IFNA( INDEX(LaboratoriosID[ID], MATCH( INDEX(LaboratoriosMaterias[LaboratorioB], MATCH(tDatosMaestros[[#This Row],[ASIGNATURA]],LaboratoriosMaterias[Materia],0)), LaboratoriosID[Laboratorio],0)), "")</f>
        <v/>
      </c>
      <c r="N89">
        <v>0</v>
      </c>
      <c r="O89">
        <v>0</v>
      </c>
    </row>
    <row r="90" spans="1:15" x14ac:dyDescent="0.25">
      <c r="A90" s="1">
        <v>4431</v>
      </c>
      <c r="B90" s="24" t="str">
        <f>"Nombre maestro "&amp;tDatosMaestros[[#This Row],[NO_CONTROL]]</f>
        <v>Nombre maestro 4431</v>
      </c>
      <c r="C90" s="24" t="s">
        <v>46</v>
      </c>
      <c r="D90" s="1">
        <v>4</v>
      </c>
      <c r="E90" s="1" t="s">
        <v>47</v>
      </c>
      <c r="F90" t="s">
        <v>9</v>
      </c>
      <c r="G90" t="s">
        <v>10</v>
      </c>
      <c r="H90" t="s">
        <v>113</v>
      </c>
      <c r="K90">
        <f>IF(tDatosMaestros[[#This Row],[TIPO PROFESOR]]="HRS", 3,2)</f>
        <v>3</v>
      </c>
      <c r="L90" t="str">
        <f>_xlfn.IFNA( INDEX(LaboratoriosID[ID], MATCH( INDEX(LaboratoriosMaterias[Laboratorio], MATCH(tDatosMaestros[[#This Row],[ASIGNATURA]],LaboratoriosMaterias[Materia],0)), LaboratoriosID[Laboratorio],0)), "")</f>
        <v/>
      </c>
      <c r="M90" t="str">
        <f>_xlfn.IFNA( INDEX(LaboratoriosID[ID], MATCH( INDEX(LaboratoriosMaterias[LaboratorioB], MATCH(tDatosMaestros[[#This Row],[ASIGNATURA]],LaboratoriosMaterias[Materia],0)), LaboratoriosID[Laboratorio],0)), "")</f>
        <v/>
      </c>
      <c r="N90">
        <v>0</v>
      </c>
      <c r="O90">
        <v>0</v>
      </c>
    </row>
    <row r="91" spans="1:15" x14ac:dyDescent="0.25">
      <c r="A91" s="1">
        <v>4431</v>
      </c>
      <c r="B91" s="24" t="str">
        <f>"Nombre maestro "&amp;tDatosMaestros[[#This Row],[NO_CONTROL]]</f>
        <v>Nombre maestro 4431</v>
      </c>
      <c r="C91" s="24" t="s">
        <v>46</v>
      </c>
      <c r="D91" s="1">
        <v>4</v>
      </c>
      <c r="E91" s="1" t="s">
        <v>48</v>
      </c>
      <c r="F91" t="s">
        <v>9</v>
      </c>
      <c r="G91" t="s">
        <v>10</v>
      </c>
      <c r="H91" t="s">
        <v>113</v>
      </c>
      <c r="K91">
        <f>IF(tDatosMaestros[[#This Row],[TIPO PROFESOR]]="HRS", 3,2)</f>
        <v>3</v>
      </c>
      <c r="L91" t="str">
        <f>_xlfn.IFNA( INDEX(LaboratoriosID[ID], MATCH( INDEX(LaboratoriosMaterias[Laboratorio], MATCH(tDatosMaestros[[#This Row],[ASIGNATURA]],LaboratoriosMaterias[Materia],0)), LaboratoriosID[Laboratorio],0)), "")</f>
        <v/>
      </c>
      <c r="M91" t="str">
        <f>_xlfn.IFNA( INDEX(LaboratoriosID[ID], MATCH( INDEX(LaboratoriosMaterias[LaboratorioB], MATCH(tDatosMaestros[[#This Row],[ASIGNATURA]],LaboratoriosMaterias[Materia],0)), LaboratoriosID[Laboratorio],0)), "")</f>
        <v/>
      </c>
      <c r="N91">
        <v>0</v>
      </c>
      <c r="O91">
        <v>0</v>
      </c>
    </row>
    <row r="92" spans="1:15" x14ac:dyDescent="0.25">
      <c r="A92" s="1">
        <v>4442</v>
      </c>
      <c r="B92" s="24" t="str">
        <f>"Nombre maestro "&amp;tDatosMaestros[[#This Row],[NO_CONTROL]]</f>
        <v>Nombre maestro 4442</v>
      </c>
      <c r="C92" s="24" t="s">
        <v>44</v>
      </c>
      <c r="D92" s="1">
        <v>4</v>
      </c>
      <c r="E92" s="1" t="s">
        <v>24</v>
      </c>
      <c r="F92" t="s">
        <v>9</v>
      </c>
      <c r="G92" t="s">
        <v>10</v>
      </c>
      <c r="H92" t="s">
        <v>111</v>
      </c>
      <c r="K92">
        <f>IF(tDatosMaestros[[#This Row],[TIPO PROFESOR]]="HRS", 3,2)</f>
        <v>3</v>
      </c>
      <c r="L92" t="str">
        <f>_xlfn.IFNA( INDEX(LaboratoriosID[ID], MATCH( INDEX(LaboratoriosMaterias[Laboratorio], MATCH(tDatosMaestros[[#This Row],[ASIGNATURA]],LaboratoriosMaterias[Materia],0)), LaboratoriosID[Laboratorio],0)), "")</f>
        <v/>
      </c>
      <c r="M92" t="str">
        <f>_xlfn.IFNA( INDEX(LaboratoriosID[ID], MATCH( INDEX(LaboratoriosMaterias[LaboratorioB], MATCH(tDatosMaestros[[#This Row],[ASIGNATURA]],LaboratoriosMaterias[Materia],0)), LaboratoriosID[Laboratorio],0)), "")</f>
        <v/>
      </c>
      <c r="N92">
        <v>0</v>
      </c>
      <c r="O92">
        <v>0</v>
      </c>
    </row>
    <row r="93" spans="1:15" x14ac:dyDescent="0.25">
      <c r="A93" s="1">
        <v>4732</v>
      </c>
      <c r="B93" s="24" t="str">
        <f>"Nombre maestro "&amp;tDatosMaestros[[#This Row],[NO_CONTROL]]</f>
        <v>Nombre maestro 4732</v>
      </c>
      <c r="C93" s="24" t="s">
        <v>44</v>
      </c>
      <c r="D93" s="1">
        <v>4</v>
      </c>
      <c r="E93" s="1" t="s">
        <v>22</v>
      </c>
      <c r="F93" t="s">
        <v>9</v>
      </c>
      <c r="G93" t="s">
        <v>10</v>
      </c>
      <c r="H93" t="s">
        <v>111</v>
      </c>
      <c r="K93">
        <f>IF(tDatosMaestros[[#This Row],[TIPO PROFESOR]]="HRS", 3,2)</f>
        <v>3</v>
      </c>
      <c r="L93" t="str">
        <f>_xlfn.IFNA( INDEX(LaboratoriosID[ID], MATCH( INDEX(LaboratoriosMaterias[Laboratorio], MATCH(tDatosMaestros[[#This Row],[ASIGNATURA]],LaboratoriosMaterias[Materia],0)), LaboratoriosID[Laboratorio],0)), "")</f>
        <v/>
      </c>
      <c r="M93" t="str">
        <f>_xlfn.IFNA( INDEX(LaboratoriosID[ID], MATCH( INDEX(LaboratoriosMaterias[LaboratorioB], MATCH(tDatosMaestros[[#This Row],[ASIGNATURA]],LaboratoriosMaterias[Materia],0)), LaboratoriosID[Laboratorio],0)), "")</f>
        <v/>
      </c>
      <c r="N93">
        <v>0</v>
      </c>
      <c r="O93">
        <v>0</v>
      </c>
    </row>
    <row r="94" spans="1:15" x14ac:dyDescent="0.25">
      <c r="A94" s="1">
        <v>4732</v>
      </c>
      <c r="B94" s="24" t="str">
        <f>"Nombre maestro "&amp;tDatosMaestros[[#This Row],[NO_CONTROL]]</f>
        <v>Nombre maestro 4732</v>
      </c>
      <c r="C94" s="24" t="s">
        <v>44</v>
      </c>
      <c r="D94" s="1">
        <v>4</v>
      </c>
      <c r="E94" s="1" t="s">
        <v>25</v>
      </c>
      <c r="F94" t="s">
        <v>9</v>
      </c>
      <c r="G94" t="s">
        <v>10</v>
      </c>
      <c r="H94" t="s">
        <v>111</v>
      </c>
      <c r="K94">
        <f>IF(tDatosMaestros[[#This Row],[TIPO PROFESOR]]="HRS", 3,2)</f>
        <v>3</v>
      </c>
      <c r="L94" t="str">
        <f>_xlfn.IFNA( INDEX(LaboratoriosID[ID], MATCH( INDEX(LaboratoriosMaterias[Laboratorio], MATCH(tDatosMaestros[[#This Row],[ASIGNATURA]],LaboratoriosMaterias[Materia],0)), LaboratoriosID[Laboratorio],0)), "")</f>
        <v/>
      </c>
      <c r="M94" t="str">
        <f>_xlfn.IFNA( INDEX(LaboratoriosID[ID], MATCH( INDEX(LaboratoriosMaterias[LaboratorioB], MATCH(tDatosMaestros[[#This Row],[ASIGNATURA]],LaboratoriosMaterias[Materia],0)), LaboratoriosID[Laboratorio],0)), "")</f>
        <v/>
      </c>
      <c r="N94">
        <v>0</v>
      </c>
      <c r="O94">
        <v>0</v>
      </c>
    </row>
    <row r="95" spans="1:15" x14ac:dyDescent="0.25">
      <c r="A95" s="1">
        <v>4732</v>
      </c>
      <c r="B95" s="24" t="str">
        <f>"Nombre maestro "&amp;tDatosMaestros[[#This Row],[NO_CONTROL]]</f>
        <v>Nombre maestro 4732</v>
      </c>
      <c r="C95" s="24" t="s">
        <v>44</v>
      </c>
      <c r="D95" s="1">
        <v>4</v>
      </c>
      <c r="E95" s="1" t="s">
        <v>28</v>
      </c>
      <c r="F95" t="s">
        <v>9</v>
      </c>
      <c r="G95" t="s">
        <v>10</v>
      </c>
      <c r="H95" t="s">
        <v>111</v>
      </c>
      <c r="K95">
        <f>IF(tDatosMaestros[[#This Row],[TIPO PROFESOR]]="HRS", 3,2)</f>
        <v>3</v>
      </c>
      <c r="L95" t="str">
        <f>_xlfn.IFNA( INDEX(LaboratoriosID[ID], MATCH( INDEX(LaboratoriosMaterias[Laboratorio], MATCH(tDatosMaestros[[#This Row],[ASIGNATURA]],LaboratoriosMaterias[Materia],0)), LaboratoriosID[Laboratorio],0)), "")</f>
        <v/>
      </c>
      <c r="M95" t="str">
        <f>_xlfn.IFNA( INDEX(LaboratoriosID[ID], MATCH( INDEX(LaboratoriosMaterias[LaboratorioB], MATCH(tDatosMaestros[[#This Row],[ASIGNATURA]],LaboratoriosMaterias[Materia],0)), LaboratoriosID[Laboratorio],0)), "")</f>
        <v/>
      </c>
      <c r="N95">
        <v>0</v>
      </c>
      <c r="O95">
        <v>0</v>
      </c>
    </row>
    <row r="96" spans="1:15" x14ac:dyDescent="0.25">
      <c r="A96" s="1">
        <v>4802</v>
      </c>
      <c r="B96" s="24" t="str">
        <f>"Nombre maestro "&amp;tDatosMaestros[[#This Row],[NO_CONTROL]]</f>
        <v>Nombre maestro 4802</v>
      </c>
      <c r="C96" s="24" t="s">
        <v>66</v>
      </c>
      <c r="D96" s="1">
        <v>4</v>
      </c>
      <c r="E96" s="1" t="s">
        <v>28</v>
      </c>
      <c r="F96" t="s">
        <v>9</v>
      </c>
      <c r="G96" t="s">
        <v>10</v>
      </c>
      <c r="H96" t="s">
        <v>133</v>
      </c>
      <c r="K96">
        <f>IF(tDatosMaestros[[#This Row],[TIPO PROFESOR]]="HRS", 3,2)</f>
        <v>3</v>
      </c>
      <c r="L96" t="str">
        <f>_xlfn.IFNA( INDEX(LaboratoriosID[ID], MATCH( INDEX(LaboratoriosMaterias[Laboratorio], MATCH(tDatosMaestros[[#This Row],[ASIGNATURA]],LaboratoriosMaterias[Materia],0)), LaboratoriosID[Laboratorio],0)), "")</f>
        <v/>
      </c>
      <c r="M96" t="str">
        <f>_xlfn.IFNA( INDEX(LaboratoriosID[ID], MATCH( INDEX(LaboratoriosMaterias[LaboratorioB], MATCH(tDatosMaestros[[#This Row],[ASIGNATURA]],LaboratoriosMaterias[Materia],0)), LaboratoriosID[Laboratorio],0)), "")</f>
        <v/>
      </c>
      <c r="N96">
        <v>0</v>
      </c>
      <c r="O96">
        <v>0</v>
      </c>
    </row>
    <row r="97" spans="1:15" x14ac:dyDescent="0.25">
      <c r="A97" s="1">
        <v>4802</v>
      </c>
      <c r="B97" s="24" t="str">
        <f>"Nombre maestro "&amp;tDatosMaestros[[#This Row],[NO_CONTROL]]</f>
        <v>Nombre maestro 4802</v>
      </c>
      <c r="C97" s="24" t="s">
        <v>66</v>
      </c>
      <c r="D97" s="1">
        <v>4</v>
      </c>
      <c r="E97" s="1" t="s">
        <v>29</v>
      </c>
      <c r="F97" t="s">
        <v>9</v>
      </c>
      <c r="G97" t="s">
        <v>10</v>
      </c>
      <c r="H97" t="s">
        <v>133</v>
      </c>
      <c r="K97">
        <f>IF(tDatosMaestros[[#This Row],[TIPO PROFESOR]]="HRS", 3,2)</f>
        <v>3</v>
      </c>
      <c r="L97" t="str">
        <f>_xlfn.IFNA( INDEX(LaboratoriosID[ID], MATCH( INDEX(LaboratoriosMaterias[Laboratorio], MATCH(tDatosMaestros[[#This Row],[ASIGNATURA]],LaboratoriosMaterias[Materia],0)), LaboratoriosID[Laboratorio],0)), "")</f>
        <v/>
      </c>
      <c r="M97" t="str">
        <f>_xlfn.IFNA( INDEX(LaboratoriosID[ID], MATCH( INDEX(LaboratoriosMaterias[LaboratorioB], MATCH(tDatosMaestros[[#This Row],[ASIGNATURA]],LaboratoriosMaterias[Materia],0)), LaboratoriosID[Laboratorio],0)), "")</f>
        <v/>
      </c>
      <c r="N97">
        <v>0</v>
      </c>
      <c r="O97">
        <v>0</v>
      </c>
    </row>
    <row r="98" spans="1:15" x14ac:dyDescent="0.25">
      <c r="A98" s="1">
        <v>4802</v>
      </c>
      <c r="B98" s="24" t="str">
        <f>"Nombre maestro "&amp;tDatosMaestros[[#This Row],[NO_CONTROL]]</f>
        <v>Nombre maestro 4802</v>
      </c>
      <c r="C98" s="24" t="s">
        <v>66</v>
      </c>
      <c r="D98" s="1">
        <v>4</v>
      </c>
      <c r="E98" s="1" t="s">
        <v>47</v>
      </c>
      <c r="F98" t="s">
        <v>9</v>
      </c>
      <c r="G98" t="s">
        <v>10</v>
      </c>
      <c r="H98" t="s">
        <v>133</v>
      </c>
      <c r="K98">
        <f>IF(tDatosMaestros[[#This Row],[TIPO PROFESOR]]="HRS", 3,2)</f>
        <v>3</v>
      </c>
      <c r="L98" t="str">
        <f>_xlfn.IFNA( INDEX(LaboratoriosID[ID], MATCH( INDEX(LaboratoriosMaterias[Laboratorio], MATCH(tDatosMaestros[[#This Row],[ASIGNATURA]],LaboratoriosMaterias[Materia],0)), LaboratoriosID[Laboratorio],0)), "")</f>
        <v/>
      </c>
      <c r="M98" t="str">
        <f>_xlfn.IFNA( INDEX(LaboratoriosID[ID], MATCH( INDEX(LaboratoriosMaterias[LaboratorioB], MATCH(tDatosMaestros[[#This Row],[ASIGNATURA]],LaboratoriosMaterias[Materia],0)), LaboratoriosID[Laboratorio],0)), "")</f>
        <v/>
      </c>
      <c r="N98">
        <v>0</v>
      </c>
      <c r="O98">
        <v>0</v>
      </c>
    </row>
    <row r="99" spans="1:15" x14ac:dyDescent="0.25">
      <c r="A99" s="1">
        <v>4802</v>
      </c>
      <c r="B99" s="24" t="str">
        <f>"Nombre maestro "&amp;tDatosMaestros[[#This Row],[NO_CONTROL]]</f>
        <v>Nombre maestro 4802</v>
      </c>
      <c r="C99" s="24" t="s">
        <v>66</v>
      </c>
      <c r="D99" s="1">
        <v>4</v>
      </c>
      <c r="E99" s="1" t="s">
        <v>48</v>
      </c>
      <c r="F99" t="s">
        <v>9</v>
      </c>
      <c r="G99" t="s">
        <v>10</v>
      </c>
      <c r="H99" t="s">
        <v>133</v>
      </c>
      <c r="K99">
        <f>IF(tDatosMaestros[[#This Row],[TIPO PROFESOR]]="HRS", 3,2)</f>
        <v>3</v>
      </c>
      <c r="L99" t="str">
        <f>_xlfn.IFNA( INDEX(LaboratoriosID[ID], MATCH( INDEX(LaboratoriosMaterias[Laboratorio], MATCH(tDatosMaestros[[#This Row],[ASIGNATURA]],LaboratoriosMaterias[Materia],0)), LaboratoriosID[Laboratorio],0)), "")</f>
        <v/>
      </c>
      <c r="M99" t="str">
        <f>_xlfn.IFNA( INDEX(LaboratoriosID[ID], MATCH( INDEX(LaboratoriosMaterias[LaboratorioB], MATCH(tDatosMaestros[[#This Row],[ASIGNATURA]],LaboratoriosMaterias[Materia],0)), LaboratoriosID[Laboratorio],0)), "")</f>
        <v/>
      </c>
      <c r="N99">
        <v>0</v>
      </c>
      <c r="O99">
        <v>0</v>
      </c>
    </row>
    <row r="100" spans="1:15" x14ac:dyDescent="0.25">
      <c r="A100" s="1">
        <v>4879</v>
      </c>
      <c r="B100" s="24" t="str">
        <f>"Nombre maestro "&amp;tDatosMaestros[[#This Row],[NO_CONTROL]]</f>
        <v>Nombre maestro 4879</v>
      </c>
      <c r="C100" s="24" t="s">
        <v>45</v>
      </c>
      <c r="D100" s="1">
        <v>4</v>
      </c>
      <c r="E100" s="1" t="s">
        <v>12</v>
      </c>
      <c r="F100" t="s">
        <v>9</v>
      </c>
      <c r="G100" t="s">
        <v>10</v>
      </c>
      <c r="H100" t="s">
        <v>112</v>
      </c>
      <c r="K100">
        <f>IF(tDatosMaestros[[#This Row],[TIPO PROFESOR]]="HRS", 3,2)</f>
        <v>3</v>
      </c>
      <c r="L100" t="str">
        <f>_xlfn.IFNA( INDEX(LaboratoriosID[ID], MATCH( INDEX(LaboratoriosMaterias[Laboratorio], MATCH(tDatosMaestros[[#This Row],[ASIGNATURA]],LaboratoriosMaterias[Materia],0)), LaboratoriosID[Laboratorio],0)), "")</f>
        <v/>
      </c>
      <c r="M100" t="str">
        <f>_xlfn.IFNA( INDEX(LaboratoriosID[ID], MATCH( INDEX(LaboratoriosMaterias[LaboratorioB], MATCH(tDatosMaestros[[#This Row],[ASIGNATURA]],LaboratoriosMaterias[Materia],0)), LaboratoriosID[Laboratorio],0)), "")</f>
        <v/>
      </c>
      <c r="N100">
        <v>0</v>
      </c>
      <c r="O100">
        <v>0</v>
      </c>
    </row>
    <row r="101" spans="1:15" x14ac:dyDescent="0.25">
      <c r="A101" s="1">
        <v>4879</v>
      </c>
      <c r="B101" s="24" t="str">
        <f>"Nombre maestro "&amp;tDatosMaestros[[#This Row],[NO_CONTROL]]</f>
        <v>Nombre maestro 4879</v>
      </c>
      <c r="C101" s="24" t="s">
        <v>45</v>
      </c>
      <c r="D101" s="1">
        <v>4</v>
      </c>
      <c r="E101" s="1" t="s">
        <v>20</v>
      </c>
      <c r="F101" t="s">
        <v>9</v>
      </c>
      <c r="G101" t="s">
        <v>10</v>
      </c>
      <c r="H101" t="s">
        <v>112</v>
      </c>
      <c r="K101">
        <f>IF(tDatosMaestros[[#This Row],[TIPO PROFESOR]]="HRS", 3,2)</f>
        <v>3</v>
      </c>
      <c r="L101" t="str">
        <f>_xlfn.IFNA( INDEX(LaboratoriosID[ID], MATCH( INDEX(LaboratoriosMaterias[Laboratorio], MATCH(tDatosMaestros[[#This Row],[ASIGNATURA]],LaboratoriosMaterias[Materia],0)), LaboratoriosID[Laboratorio],0)), "")</f>
        <v/>
      </c>
      <c r="M101" t="str">
        <f>_xlfn.IFNA( INDEX(LaboratoriosID[ID], MATCH( INDEX(LaboratoriosMaterias[LaboratorioB], MATCH(tDatosMaestros[[#This Row],[ASIGNATURA]],LaboratoriosMaterias[Materia],0)), LaboratoriosID[Laboratorio],0)), "")</f>
        <v/>
      </c>
      <c r="N101">
        <v>0</v>
      </c>
      <c r="O101">
        <v>0</v>
      </c>
    </row>
    <row r="102" spans="1:15" x14ac:dyDescent="0.25">
      <c r="A102" s="2">
        <v>5155</v>
      </c>
      <c r="B102" s="25" t="str">
        <f>"Nombre maestro "&amp;tDatosMaestros[[#This Row],[NO_CONTROL]]</f>
        <v>Nombre maestro 5155</v>
      </c>
      <c r="C102" s="25" t="s">
        <v>11</v>
      </c>
      <c r="D102" s="2">
        <v>4</v>
      </c>
      <c r="E102" s="2" t="s">
        <v>20</v>
      </c>
      <c r="F102" s="3" t="s">
        <v>9</v>
      </c>
      <c r="G102" s="3" t="s">
        <v>23</v>
      </c>
      <c r="H102" t="s">
        <v>99</v>
      </c>
      <c r="K102">
        <f>IF(tDatosMaestros[[#This Row],[TIPO PROFESOR]]="HRS", 3,2)</f>
        <v>2</v>
      </c>
      <c r="L102" t="str">
        <f>_xlfn.IFNA( INDEX(LaboratoriosID[ID], MATCH( INDEX(LaboratoriosMaterias[Laboratorio], MATCH(tDatosMaestros[[#This Row],[ASIGNATURA]],LaboratoriosMaterias[Materia],0)), LaboratoriosID[Laboratorio],0)), "")</f>
        <v/>
      </c>
      <c r="M102" t="str">
        <f>_xlfn.IFNA( INDEX(LaboratoriosID[ID], MATCH( INDEX(LaboratoriosMaterias[LaboratorioB], MATCH(tDatosMaestros[[#This Row],[ASIGNATURA]],LaboratoriosMaterias[Materia],0)), LaboratoriosID[Laboratorio],0)), "")</f>
        <v/>
      </c>
      <c r="N102">
        <v>0</v>
      </c>
      <c r="O102">
        <v>0</v>
      </c>
    </row>
    <row r="103" spans="1:15" x14ac:dyDescent="0.25">
      <c r="A103" s="2">
        <v>5155</v>
      </c>
      <c r="B103" s="25" t="str">
        <f>"Nombre maestro "&amp;tDatosMaestros[[#This Row],[NO_CONTROL]]</f>
        <v>Nombre maestro 5155</v>
      </c>
      <c r="C103" s="25" t="s">
        <v>11</v>
      </c>
      <c r="D103" s="2">
        <v>4</v>
      </c>
      <c r="E103" s="2" t="s">
        <v>16</v>
      </c>
      <c r="F103" s="3" t="s">
        <v>9</v>
      </c>
      <c r="G103" s="3" t="s">
        <v>23</v>
      </c>
      <c r="H103" t="s">
        <v>99</v>
      </c>
      <c r="K103">
        <f>IF(tDatosMaestros[[#This Row],[TIPO PROFESOR]]="HRS", 3,2)</f>
        <v>2</v>
      </c>
      <c r="L103" t="str">
        <f>_xlfn.IFNA( INDEX(LaboratoriosID[ID], MATCH( INDEX(LaboratoriosMaterias[Laboratorio], MATCH(tDatosMaestros[[#This Row],[ASIGNATURA]],LaboratoriosMaterias[Materia],0)), LaboratoriosID[Laboratorio],0)), "")</f>
        <v/>
      </c>
      <c r="M103" t="str">
        <f>_xlfn.IFNA( INDEX(LaboratoriosID[ID], MATCH( INDEX(LaboratoriosMaterias[LaboratorioB], MATCH(tDatosMaestros[[#This Row],[ASIGNATURA]],LaboratoriosMaterias[Materia],0)), LaboratoriosID[Laboratorio],0)), "")</f>
        <v/>
      </c>
      <c r="N103">
        <v>0</v>
      </c>
      <c r="O103">
        <v>0</v>
      </c>
    </row>
    <row r="104" spans="1:15" x14ac:dyDescent="0.25">
      <c r="A104" s="2">
        <v>5155</v>
      </c>
      <c r="B104" s="25" t="str">
        <f>"Nombre maestro "&amp;tDatosMaestros[[#This Row],[NO_CONTROL]]</f>
        <v>Nombre maestro 5155</v>
      </c>
      <c r="C104" s="25" t="s">
        <v>11</v>
      </c>
      <c r="D104" s="2">
        <v>4</v>
      </c>
      <c r="E104" s="2" t="s">
        <v>8</v>
      </c>
      <c r="F104" s="3" t="s">
        <v>9</v>
      </c>
      <c r="G104" s="3" t="s">
        <v>23</v>
      </c>
      <c r="H104" t="s">
        <v>99</v>
      </c>
      <c r="K104">
        <f>IF(tDatosMaestros[[#This Row],[TIPO PROFESOR]]="HRS", 3,2)</f>
        <v>2</v>
      </c>
      <c r="L104" t="str">
        <f>_xlfn.IFNA( INDEX(LaboratoriosID[ID], MATCH( INDEX(LaboratoriosMaterias[Laboratorio], MATCH(tDatosMaestros[[#This Row],[ASIGNATURA]],LaboratoriosMaterias[Materia],0)), LaboratoriosID[Laboratorio],0)), "")</f>
        <v/>
      </c>
      <c r="M104" t="str">
        <f>_xlfn.IFNA( INDEX(LaboratoriosID[ID], MATCH( INDEX(LaboratoriosMaterias[LaboratorioB], MATCH(tDatosMaestros[[#This Row],[ASIGNATURA]],LaboratoriosMaterias[Materia],0)), LaboratoriosID[Laboratorio],0)), "")</f>
        <v/>
      </c>
      <c r="N104">
        <v>0</v>
      </c>
      <c r="O104">
        <v>0</v>
      </c>
    </row>
    <row r="105" spans="1:15" x14ac:dyDescent="0.25">
      <c r="A105" s="1">
        <v>5212</v>
      </c>
      <c r="B105" s="24" t="str">
        <f>"Nombre maestro "&amp;tDatosMaestros[[#This Row],[NO_CONTROL]]</f>
        <v>Nombre maestro 5212</v>
      </c>
      <c r="C105" s="24" t="s">
        <v>38</v>
      </c>
      <c r="D105" s="1">
        <v>5</v>
      </c>
      <c r="E105" s="1" t="s">
        <v>37</v>
      </c>
      <c r="F105" t="s">
        <v>9</v>
      </c>
      <c r="G105" t="s">
        <v>10</v>
      </c>
      <c r="H105" t="s">
        <v>105</v>
      </c>
      <c r="K105" s="4">
        <f>IF(tDatosMaestros[[#This Row],[TIPO PROFESOR]]="HRS", 3,2)</f>
        <v>3</v>
      </c>
      <c r="L105" t="str">
        <f>_xlfn.IFNA( INDEX(LaboratoriosID[ID], MATCH( INDEX(LaboratoriosMaterias[Laboratorio], MATCH(tDatosMaestros[[#This Row],[ASIGNATURA]],LaboratoriosMaterias[Materia],0)), LaboratoriosID[Laboratorio],0)), "")</f>
        <v/>
      </c>
      <c r="M105" t="str">
        <f>_xlfn.IFNA( INDEX(LaboratoriosID[ID], MATCH( INDEX(LaboratoriosMaterias[LaboratorioB], MATCH(tDatosMaestros[[#This Row],[ASIGNATURA]],LaboratoriosMaterias[Materia],0)), LaboratoriosID[Laboratorio],0)), "")</f>
        <v/>
      </c>
      <c r="N105">
        <v>0</v>
      </c>
      <c r="O105">
        <v>0</v>
      </c>
    </row>
    <row r="106" spans="1:15" x14ac:dyDescent="0.25">
      <c r="A106" s="1">
        <v>5212</v>
      </c>
      <c r="B106" s="24" t="str">
        <f>"Nombre maestro "&amp;tDatosMaestros[[#This Row],[NO_CONTROL]]</f>
        <v>Nombre maestro 5212</v>
      </c>
      <c r="C106" s="24" t="s">
        <v>27</v>
      </c>
      <c r="D106" s="1">
        <v>5</v>
      </c>
      <c r="E106" s="1" t="s">
        <v>24</v>
      </c>
      <c r="F106" t="s">
        <v>9</v>
      </c>
      <c r="G106" t="s">
        <v>10</v>
      </c>
      <c r="H106" t="s">
        <v>104</v>
      </c>
      <c r="K106" s="4">
        <f>IF(tDatosMaestros[[#This Row],[TIPO PROFESOR]]="HRS", 3,2)</f>
        <v>3</v>
      </c>
      <c r="L106" t="str">
        <f>_xlfn.IFNA( INDEX(LaboratoriosID[ID], MATCH( INDEX(LaboratoriosMaterias[Laboratorio], MATCH(tDatosMaestros[[#This Row],[ASIGNATURA]],LaboratoriosMaterias[Materia],0)), LaboratoriosID[Laboratorio],0)), "")</f>
        <v/>
      </c>
      <c r="M106" t="str">
        <f>_xlfn.IFNA( INDEX(LaboratoriosID[ID], MATCH( INDEX(LaboratoriosMaterias[LaboratorioB], MATCH(tDatosMaestros[[#This Row],[ASIGNATURA]],LaboratoriosMaterias[Materia],0)), LaboratoriosID[Laboratorio],0)), "")</f>
        <v/>
      </c>
      <c r="N106">
        <v>0</v>
      </c>
      <c r="O106">
        <v>0</v>
      </c>
    </row>
    <row r="107" spans="1:15" x14ac:dyDescent="0.25">
      <c r="A107" s="1">
        <v>5321</v>
      </c>
      <c r="B107" s="24" t="str">
        <f>"Nombre maestro "&amp;tDatosMaestros[[#This Row],[NO_CONTROL]]</f>
        <v>Nombre maestro 5321</v>
      </c>
      <c r="C107" s="24" t="s">
        <v>7</v>
      </c>
      <c r="D107" s="1">
        <v>4</v>
      </c>
      <c r="E107" s="1" t="s">
        <v>12</v>
      </c>
      <c r="F107" t="s">
        <v>9</v>
      </c>
      <c r="G107" t="s">
        <v>10</v>
      </c>
      <c r="H107" t="s">
        <v>94</v>
      </c>
      <c r="K107">
        <f>IF(tDatosMaestros[[#This Row],[TIPO PROFESOR]]="HRS", 3,2)</f>
        <v>3</v>
      </c>
      <c r="L107" t="str">
        <f>_xlfn.IFNA( INDEX(LaboratoriosID[ID], MATCH( INDEX(LaboratoriosMaterias[Laboratorio], MATCH(tDatosMaestros[[#This Row],[ASIGNATURA]],LaboratoriosMaterias[Materia],0)), LaboratoriosID[Laboratorio],0)), "")</f>
        <v/>
      </c>
      <c r="M107" t="str">
        <f>_xlfn.IFNA( INDEX(LaboratoriosID[ID], MATCH( INDEX(LaboratoriosMaterias[LaboratorioB], MATCH(tDatosMaestros[[#This Row],[ASIGNATURA]],LaboratoriosMaterias[Materia],0)), LaboratoriosID[Laboratorio],0)), "")</f>
        <v/>
      </c>
      <c r="N107">
        <v>0</v>
      </c>
      <c r="O107">
        <v>0</v>
      </c>
    </row>
    <row r="108" spans="1:15" x14ac:dyDescent="0.25">
      <c r="A108" s="1">
        <v>5321</v>
      </c>
      <c r="B108" s="24" t="str">
        <f>"Nombre maestro "&amp;tDatosMaestros[[#This Row],[NO_CONTROL]]</f>
        <v>Nombre maestro 5321</v>
      </c>
      <c r="C108" s="24" t="s">
        <v>7</v>
      </c>
      <c r="D108" s="1">
        <v>4</v>
      </c>
      <c r="E108" s="1" t="s">
        <v>20</v>
      </c>
      <c r="F108" t="s">
        <v>9</v>
      </c>
      <c r="G108" t="s">
        <v>10</v>
      </c>
      <c r="H108" t="s">
        <v>94</v>
      </c>
      <c r="K108">
        <f>IF(tDatosMaestros[[#This Row],[TIPO PROFESOR]]="HRS", 3,2)</f>
        <v>3</v>
      </c>
      <c r="L108" t="str">
        <f>_xlfn.IFNA( INDEX(LaboratoriosID[ID], MATCH( INDEX(LaboratoriosMaterias[Laboratorio], MATCH(tDatosMaestros[[#This Row],[ASIGNATURA]],LaboratoriosMaterias[Materia],0)), LaboratoriosID[Laboratorio],0)), "")</f>
        <v/>
      </c>
      <c r="M108" t="str">
        <f>_xlfn.IFNA( INDEX(LaboratoriosID[ID], MATCH( INDEX(LaboratoriosMaterias[LaboratorioB], MATCH(tDatosMaestros[[#This Row],[ASIGNATURA]],LaboratoriosMaterias[Materia],0)), LaboratoriosID[Laboratorio],0)), "")</f>
        <v/>
      </c>
      <c r="N108">
        <v>0</v>
      </c>
      <c r="O108">
        <v>0</v>
      </c>
    </row>
    <row r="109" spans="1:15" x14ac:dyDescent="0.25">
      <c r="A109" s="1">
        <v>5321</v>
      </c>
      <c r="B109" s="24" t="str">
        <f>"Nombre maestro "&amp;tDatosMaestros[[#This Row],[NO_CONTROL]]</f>
        <v>Nombre maestro 5321</v>
      </c>
      <c r="C109" s="24" t="s">
        <v>7</v>
      </c>
      <c r="D109" s="1">
        <v>4</v>
      </c>
      <c r="E109" s="1" t="s">
        <v>17</v>
      </c>
      <c r="F109" t="s">
        <v>9</v>
      </c>
      <c r="G109" t="s">
        <v>10</v>
      </c>
      <c r="H109" t="s">
        <v>94</v>
      </c>
      <c r="K109">
        <f>IF(tDatosMaestros[[#This Row],[TIPO PROFESOR]]="HRS", 3,2)</f>
        <v>3</v>
      </c>
      <c r="L109" t="str">
        <f>_xlfn.IFNA( INDEX(LaboratoriosID[ID], MATCH( INDEX(LaboratoriosMaterias[Laboratorio], MATCH(tDatosMaestros[[#This Row],[ASIGNATURA]],LaboratoriosMaterias[Materia],0)), LaboratoriosID[Laboratorio],0)), "")</f>
        <v/>
      </c>
      <c r="M109" t="str">
        <f>_xlfn.IFNA( INDEX(LaboratoriosID[ID], MATCH( INDEX(LaboratoriosMaterias[LaboratorioB], MATCH(tDatosMaestros[[#This Row],[ASIGNATURA]],LaboratoriosMaterias[Materia],0)), LaboratoriosID[Laboratorio],0)), "")</f>
        <v/>
      </c>
      <c r="N109">
        <v>0</v>
      </c>
      <c r="O109">
        <v>0</v>
      </c>
    </row>
    <row r="110" spans="1:15" x14ac:dyDescent="0.25">
      <c r="A110" s="1">
        <v>5321</v>
      </c>
      <c r="B110" s="24" t="str">
        <f>"Nombre maestro "&amp;tDatosMaestros[[#This Row],[NO_CONTROL]]</f>
        <v>Nombre maestro 5321</v>
      </c>
      <c r="C110" s="24" t="s">
        <v>7</v>
      </c>
      <c r="D110" s="1">
        <v>4</v>
      </c>
      <c r="E110" s="1" t="s">
        <v>18</v>
      </c>
      <c r="F110" t="s">
        <v>9</v>
      </c>
      <c r="G110" t="s">
        <v>10</v>
      </c>
      <c r="H110" t="s">
        <v>94</v>
      </c>
      <c r="K110">
        <f>IF(tDatosMaestros[[#This Row],[TIPO PROFESOR]]="HRS", 3,2)</f>
        <v>3</v>
      </c>
      <c r="L110" t="str">
        <f>_xlfn.IFNA( INDEX(LaboratoriosID[ID], MATCH( INDEX(LaboratoriosMaterias[Laboratorio], MATCH(tDatosMaestros[[#This Row],[ASIGNATURA]],LaboratoriosMaterias[Materia],0)), LaboratoriosID[Laboratorio],0)), "")</f>
        <v/>
      </c>
      <c r="M110" t="str">
        <f>_xlfn.IFNA( INDEX(LaboratoriosID[ID], MATCH( INDEX(LaboratoriosMaterias[LaboratorioB], MATCH(tDatosMaestros[[#This Row],[ASIGNATURA]],LaboratoriosMaterias[Materia],0)), LaboratoriosID[Laboratorio],0)), "")</f>
        <v/>
      </c>
      <c r="N110">
        <v>0</v>
      </c>
      <c r="O110">
        <v>0</v>
      </c>
    </row>
    <row r="111" spans="1:15" x14ac:dyDescent="0.25">
      <c r="A111" s="1">
        <v>5321</v>
      </c>
      <c r="B111" s="24" t="str">
        <f>"Nombre maestro "&amp;tDatosMaestros[[#This Row],[NO_CONTROL]]</f>
        <v>Nombre maestro 5321</v>
      </c>
      <c r="C111" s="24" t="s">
        <v>52</v>
      </c>
      <c r="D111" s="1">
        <v>4</v>
      </c>
      <c r="E111" s="1" t="s">
        <v>28</v>
      </c>
      <c r="F111" t="s">
        <v>9</v>
      </c>
      <c r="G111" t="s">
        <v>10</v>
      </c>
      <c r="H111" t="s">
        <v>116</v>
      </c>
      <c r="K111">
        <f>IF(tDatosMaestros[[#This Row],[TIPO PROFESOR]]="HRS", 3,2)</f>
        <v>3</v>
      </c>
      <c r="L111" t="str">
        <f>_xlfn.IFNA( INDEX(LaboratoriosID[ID], MATCH( INDEX(LaboratoriosMaterias[Laboratorio], MATCH(tDatosMaestros[[#This Row],[ASIGNATURA]],LaboratoriosMaterias[Materia],0)), LaboratoriosID[Laboratorio],0)), "")</f>
        <v/>
      </c>
      <c r="M111" t="str">
        <f>_xlfn.IFNA( INDEX(LaboratoriosID[ID], MATCH( INDEX(LaboratoriosMaterias[LaboratorioB], MATCH(tDatosMaestros[[#This Row],[ASIGNATURA]],LaboratoriosMaterias[Materia],0)), LaboratoriosID[Laboratorio],0)), "")</f>
        <v/>
      </c>
      <c r="N111">
        <v>0</v>
      </c>
      <c r="O111">
        <v>0</v>
      </c>
    </row>
    <row r="112" spans="1:15" x14ac:dyDescent="0.25">
      <c r="A112" s="1">
        <v>5321</v>
      </c>
      <c r="B112" s="24" t="str">
        <f>"Nombre maestro "&amp;tDatosMaestros[[#This Row],[NO_CONTROL]]</f>
        <v>Nombre maestro 5321</v>
      </c>
      <c r="C112" s="24" t="s">
        <v>52</v>
      </c>
      <c r="D112" s="1">
        <v>4</v>
      </c>
      <c r="E112" s="1" t="s">
        <v>29</v>
      </c>
      <c r="F112" t="s">
        <v>9</v>
      </c>
      <c r="G112" t="s">
        <v>10</v>
      </c>
      <c r="H112" t="s">
        <v>116</v>
      </c>
      <c r="K112">
        <f>IF(tDatosMaestros[[#This Row],[TIPO PROFESOR]]="HRS", 3,2)</f>
        <v>3</v>
      </c>
      <c r="L112" t="str">
        <f>_xlfn.IFNA( INDEX(LaboratoriosID[ID], MATCH( INDEX(LaboratoriosMaterias[Laboratorio], MATCH(tDatosMaestros[[#This Row],[ASIGNATURA]],LaboratoriosMaterias[Materia],0)), LaboratoriosID[Laboratorio],0)), "")</f>
        <v/>
      </c>
      <c r="M112" t="str">
        <f>_xlfn.IFNA( INDEX(LaboratoriosID[ID], MATCH( INDEX(LaboratoriosMaterias[LaboratorioB], MATCH(tDatosMaestros[[#This Row],[ASIGNATURA]],LaboratoriosMaterias[Materia],0)), LaboratoriosID[Laboratorio],0)), "")</f>
        <v/>
      </c>
      <c r="N112">
        <v>0</v>
      </c>
      <c r="O112">
        <v>0</v>
      </c>
    </row>
    <row r="113" spans="1:15" x14ac:dyDescent="0.25">
      <c r="A113" s="1">
        <v>5321</v>
      </c>
      <c r="B113" s="24" t="str">
        <f>"Nombre maestro "&amp;tDatosMaestros[[#This Row],[NO_CONTROL]]</f>
        <v>Nombre maestro 5321</v>
      </c>
      <c r="C113" s="24" t="s">
        <v>52</v>
      </c>
      <c r="D113" s="1">
        <v>4</v>
      </c>
      <c r="E113" s="1" t="s">
        <v>47</v>
      </c>
      <c r="F113" t="s">
        <v>9</v>
      </c>
      <c r="G113" t="s">
        <v>10</v>
      </c>
      <c r="H113" t="s">
        <v>116</v>
      </c>
      <c r="K113">
        <f>IF(tDatosMaestros[[#This Row],[TIPO PROFESOR]]="HRS", 3,2)</f>
        <v>3</v>
      </c>
      <c r="L113" t="str">
        <f>_xlfn.IFNA( INDEX(LaboratoriosID[ID], MATCH( INDEX(LaboratoriosMaterias[Laboratorio], MATCH(tDatosMaestros[[#This Row],[ASIGNATURA]],LaboratoriosMaterias[Materia],0)), LaboratoriosID[Laboratorio],0)), "")</f>
        <v/>
      </c>
      <c r="M113" t="str">
        <f>_xlfn.IFNA( INDEX(LaboratoriosID[ID], MATCH( INDEX(LaboratoriosMaterias[LaboratorioB], MATCH(tDatosMaestros[[#This Row],[ASIGNATURA]],LaboratoriosMaterias[Materia],0)), LaboratoriosID[Laboratorio],0)), "")</f>
        <v/>
      </c>
      <c r="N113">
        <v>0</v>
      </c>
      <c r="O113">
        <v>0</v>
      </c>
    </row>
    <row r="114" spans="1:15" x14ac:dyDescent="0.25">
      <c r="A114" s="1">
        <v>5321</v>
      </c>
      <c r="B114" s="24" t="str">
        <f>"Nombre maestro "&amp;tDatosMaestros[[#This Row],[NO_CONTROL]]</f>
        <v>Nombre maestro 5321</v>
      </c>
      <c r="C114" s="24" t="s">
        <v>52</v>
      </c>
      <c r="D114" s="1">
        <v>4</v>
      </c>
      <c r="E114" s="1" t="s">
        <v>48</v>
      </c>
      <c r="F114" t="s">
        <v>9</v>
      </c>
      <c r="G114" t="s">
        <v>10</v>
      </c>
      <c r="H114" t="s">
        <v>116</v>
      </c>
      <c r="K114">
        <f>IF(tDatosMaestros[[#This Row],[TIPO PROFESOR]]="HRS", 3,2)</f>
        <v>3</v>
      </c>
      <c r="L114" t="str">
        <f>_xlfn.IFNA( INDEX(LaboratoriosID[ID], MATCH( INDEX(LaboratoriosMaterias[Laboratorio], MATCH(tDatosMaestros[[#This Row],[ASIGNATURA]],LaboratoriosMaterias[Materia],0)), LaboratoriosID[Laboratorio],0)), "")</f>
        <v/>
      </c>
      <c r="M114" t="str">
        <f>_xlfn.IFNA( INDEX(LaboratoriosID[ID], MATCH( INDEX(LaboratoriosMaterias[LaboratorioB], MATCH(tDatosMaestros[[#This Row],[ASIGNATURA]],LaboratoriosMaterias[Materia],0)), LaboratoriosID[Laboratorio],0)), "")</f>
        <v/>
      </c>
      <c r="N114">
        <v>0</v>
      </c>
      <c r="O114">
        <v>0</v>
      </c>
    </row>
    <row r="115" spans="1:15" x14ac:dyDescent="0.25">
      <c r="A115" s="1">
        <v>5610</v>
      </c>
      <c r="B115" s="24" t="str">
        <f>"Nombre maestro "&amp;tDatosMaestros[[#This Row],[NO_CONTROL]]</f>
        <v>Nombre maestro 5610</v>
      </c>
      <c r="C115" s="24" t="s">
        <v>38</v>
      </c>
      <c r="D115" s="1">
        <v>5</v>
      </c>
      <c r="E115" s="1" t="s">
        <v>35</v>
      </c>
      <c r="F115" t="s">
        <v>9</v>
      </c>
      <c r="G115" t="s">
        <v>10</v>
      </c>
      <c r="H115" t="s">
        <v>105</v>
      </c>
      <c r="K115">
        <f>IF(tDatosMaestros[[#This Row],[TIPO PROFESOR]]="HRS", 3,2)</f>
        <v>3</v>
      </c>
      <c r="L115" t="str">
        <f>_xlfn.IFNA( INDEX(LaboratoriosID[ID], MATCH( INDEX(LaboratoriosMaterias[Laboratorio], MATCH(tDatosMaestros[[#This Row],[ASIGNATURA]],LaboratoriosMaterias[Materia],0)), LaboratoriosID[Laboratorio],0)), "")</f>
        <v/>
      </c>
      <c r="M115" t="str">
        <f>_xlfn.IFNA( INDEX(LaboratoriosID[ID], MATCH( INDEX(LaboratoriosMaterias[LaboratorioB], MATCH(tDatosMaestros[[#This Row],[ASIGNATURA]],LaboratoriosMaterias[Materia],0)), LaboratoriosID[Laboratorio],0)), "")</f>
        <v/>
      </c>
      <c r="N115">
        <v>0</v>
      </c>
      <c r="O115">
        <v>0</v>
      </c>
    </row>
    <row r="116" spans="1:15" x14ac:dyDescent="0.25">
      <c r="A116" s="1">
        <v>5610</v>
      </c>
      <c r="B116" s="24" t="str">
        <f>"Nombre maestro "&amp;tDatosMaestros[[#This Row],[NO_CONTROL]]</f>
        <v>Nombre maestro 5610</v>
      </c>
      <c r="C116" s="24" t="s">
        <v>38</v>
      </c>
      <c r="D116" s="1">
        <v>5</v>
      </c>
      <c r="E116" s="1" t="s">
        <v>36</v>
      </c>
      <c r="F116" t="s">
        <v>9</v>
      </c>
      <c r="G116" t="s">
        <v>10</v>
      </c>
      <c r="H116" t="s">
        <v>105</v>
      </c>
      <c r="K116">
        <f>IF(tDatosMaestros[[#This Row],[TIPO PROFESOR]]="HRS", 3,2)</f>
        <v>3</v>
      </c>
      <c r="L116" t="str">
        <f>_xlfn.IFNA( INDEX(LaboratoriosID[ID], MATCH( INDEX(LaboratoriosMaterias[Laboratorio], MATCH(tDatosMaestros[[#This Row],[ASIGNATURA]],LaboratoriosMaterias[Materia],0)), LaboratoriosID[Laboratorio],0)), "")</f>
        <v/>
      </c>
      <c r="M116" t="str">
        <f>_xlfn.IFNA( INDEX(LaboratoriosID[ID], MATCH( INDEX(LaboratoriosMaterias[LaboratorioB], MATCH(tDatosMaestros[[#This Row],[ASIGNATURA]],LaboratoriosMaterias[Materia],0)), LaboratoriosID[Laboratorio],0)), "")</f>
        <v/>
      </c>
      <c r="N116">
        <v>0</v>
      </c>
      <c r="O116">
        <v>0</v>
      </c>
    </row>
    <row r="117" spans="1:15" x14ac:dyDescent="0.25">
      <c r="A117" s="1">
        <v>5610</v>
      </c>
      <c r="B117" s="24" t="str">
        <f>"Nombre maestro "&amp;tDatosMaestros[[#This Row],[NO_CONTROL]]</f>
        <v>Nombre maestro 5610</v>
      </c>
      <c r="C117" s="24" t="s">
        <v>38</v>
      </c>
      <c r="D117" s="1">
        <v>5</v>
      </c>
      <c r="E117" s="1" t="s">
        <v>14</v>
      </c>
      <c r="F117" t="s">
        <v>9</v>
      </c>
      <c r="G117" t="s">
        <v>10</v>
      </c>
      <c r="H117" t="s">
        <v>105</v>
      </c>
      <c r="K117">
        <f>IF(tDatosMaestros[[#This Row],[TIPO PROFESOR]]="HRS", 3,2)</f>
        <v>3</v>
      </c>
      <c r="L117" t="str">
        <f>_xlfn.IFNA( INDEX(LaboratoriosID[ID], MATCH( INDEX(LaboratoriosMaterias[Laboratorio], MATCH(tDatosMaestros[[#This Row],[ASIGNATURA]],LaboratoriosMaterias[Materia],0)), LaboratoriosID[Laboratorio],0)), "")</f>
        <v/>
      </c>
      <c r="M117" t="str">
        <f>_xlfn.IFNA( INDEX(LaboratoriosID[ID], MATCH( INDEX(LaboratoriosMaterias[LaboratorioB], MATCH(tDatosMaestros[[#This Row],[ASIGNATURA]],LaboratoriosMaterias[Materia],0)), LaboratoriosID[Laboratorio],0)), "")</f>
        <v/>
      </c>
      <c r="N117">
        <v>0</v>
      </c>
      <c r="O117">
        <v>0</v>
      </c>
    </row>
    <row r="118" spans="1:15" x14ac:dyDescent="0.25">
      <c r="A118" s="1">
        <v>5625</v>
      </c>
      <c r="B118" s="24" t="str">
        <f>"Nombre maestro "&amp;tDatosMaestros[[#This Row],[NO_CONTROL]]</f>
        <v>Nombre maestro 5625</v>
      </c>
      <c r="C118" s="24" t="s">
        <v>7</v>
      </c>
      <c r="D118" s="1">
        <v>4</v>
      </c>
      <c r="E118" s="1" t="s">
        <v>30</v>
      </c>
      <c r="F118" t="s">
        <v>9</v>
      </c>
      <c r="G118" t="s">
        <v>10</v>
      </c>
      <c r="H118" t="s">
        <v>94</v>
      </c>
      <c r="K118">
        <f>IF(tDatosMaestros[[#This Row],[TIPO PROFESOR]]="HRS", 3,2)</f>
        <v>3</v>
      </c>
      <c r="L118" t="str">
        <f>_xlfn.IFNA( INDEX(LaboratoriosID[ID], MATCH( INDEX(LaboratoriosMaterias[Laboratorio], MATCH(tDatosMaestros[[#This Row],[ASIGNATURA]],LaboratoriosMaterias[Materia],0)), LaboratoriosID[Laboratorio],0)), "")</f>
        <v/>
      </c>
      <c r="M118" t="str">
        <f>_xlfn.IFNA( INDEX(LaboratoriosID[ID], MATCH( INDEX(LaboratoriosMaterias[LaboratorioB], MATCH(tDatosMaestros[[#This Row],[ASIGNATURA]],LaboratoriosMaterias[Materia],0)), LaboratoriosID[Laboratorio],0)), "")</f>
        <v/>
      </c>
      <c r="N118">
        <v>0</v>
      </c>
      <c r="O118">
        <v>0</v>
      </c>
    </row>
    <row r="119" spans="1:15" x14ac:dyDescent="0.25">
      <c r="A119" s="1">
        <v>5625</v>
      </c>
      <c r="B119" s="24" t="str">
        <f>"Nombre maestro "&amp;tDatosMaestros[[#This Row],[NO_CONTROL]]</f>
        <v>Nombre maestro 5625</v>
      </c>
      <c r="C119" s="24" t="s">
        <v>7</v>
      </c>
      <c r="D119" s="1">
        <v>4</v>
      </c>
      <c r="E119" s="1" t="s">
        <v>16</v>
      </c>
      <c r="F119" t="s">
        <v>9</v>
      </c>
      <c r="G119" t="s">
        <v>10</v>
      </c>
      <c r="H119" t="s">
        <v>94</v>
      </c>
      <c r="K119">
        <f>IF(tDatosMaestros[[#This Row],[TIPO PROFESOR]]="HRS", 3,2)</f>
        <v>3</v>
      </c>
      <c r="L119" t="str">
        <f>_xlfn.IFNA( INDEX(LaboratoriosID[ID], MATCH( INDEX(LaboratoriosMaterias[Laboratorio], MATCH(tDatosMaestros[[#This Row],[ASIGNATURA]],LaboratoriosMaterias[Materia],0)), LaboratoriosID[Laboratorio],0)), "")</f>
        <v/>
      </c>
      <c r="M119" t="str">
        <f>_xlfn.IFNA( INDEX(LaboratoriosID[ID], MATCH( INDEX(LaboratoriosMaterias[LaboratorioB], MATCH(tDatosMaestros[[#This Row],[ASIGNATURA]],LaboratoriosMaterias[Materia],0)), LaboratoriosID[Laboratorio],0)), "")</f>
        <v/>
      </c>
      <c r="N119">
        <v>0</v>
      </c>
      <c r="O119">
        <v>0</v>
      </c>
    </row>
    <row r="120" spans="1:15" x14ac:dyDescent="0.25">
      <c r="A120" s="1">
        <v>5625</v>
      </c>
      <c r="B120" s="24" t="str">
        <f>"Nombre maestro "&amp;tDatosMaestros[[#This Row],[NO_CONTROL]]</f>
        <v>Nombre maestro 5625</v>
      </c>
      <c r="C120" s="24" t="s">
        <v>69</v>
      </c>
      <c r="D120" s="1">
        <v>4</v>
      </c>
      <c r="E120" s="1" t="s">
        <v>35</v>
      </c>
      <c r="F120" t="s">
        <v>9</v>
      </c>
      <c r="G120" t="s">
        <v>10</v>
      </c>
      <c r="H120" t="s">
        <v>136</v>
      </c>
      <c r="K120">
        <f>IF(tDatosMaestros[[#This Row],[TIPO PROFESOR]]="HRS", 3,2)</f>
        <v>3</v>
      </c>
      <c r="L120" t="str">
        <f>_xlfn.IFNA( INDEX(LaboratoriosID[ID], MATCH( INDEX(LaboratoriosMaterias[Laboratorio], MATCH(tDatosMaestros[[#This Row],[ASIGNATURA]],LaboratoriosMaterias[Materia],0)), LaboratoriosID[Laboratorio],0)), "")</f>
        <v/>
      </c>
      <c r="M120" t="str">
        <f>_xlfn.IFNA( INDEX(LaboratoriosID[ID], MATCH( INDEX(LaboratoriosMaterias[LaboratorioB], MATCH(tDatosMaestros[[#This Row],[ASIGNATURA]],LaboratoriosMaterias[Materia],0)), LaboratoriosID[Laboratorio],0)), "")</f>
        <v/>
      </c>
      <c r="N120">
        <v>0</v>
      </c>
      <c r="O120">
        <v>0</v>
      </c>
    </row>
    <row r="121" spans="1:15" x14ac:dyDescent="0.25">
      <c r="A121" s="1">
        <v>5625</v>
      </c>
      <c r="B121" s="24" t="str">
        <f>"Nombre maestro "&amp;tDatosMaestros[[#This Row],[NO_CONTROL]]</f>
        <v>Nombre maestro 5625</v>
      </c>
      <c r="C121" s="24" t="s">
        <v>19</v>
      </c>
      <c r="D121" s="1">
        <v>4</v>
      </c>
      <c r="E121" s="1" t="s">
        <v>8</v>
      </c>
      <c r="F121" t="s">
        <v>9</v>
      </c>
      <c r="G121" t="s">
        <v>10</v>
      </c>
      <c r="H121" t="s">
        <v>102</v>
      </c>
      <c r="K121">
        <f>IF(tDatosMaestros[[#This Row],[TIPO PROFESOR]]="HRS", 3,2)</f>
        <v>3</v>
      </c>
      <c r="L121" t="str">
        <f>_xlfn.IFNA( INDEX(LaboratoriosID[ID], MATCH( INDEX(LaboratoriosMaterias[Laboratorio], MATCH(tDatosMaestros[[#This Row],[ASIGNATURA]],LaboratoriosMaterias[Materia],0)), LaboratoriosID[Laboratorio],0)), "")</f>
        <v/>
      </c>
      <c r="M121" t="str">
        <f>_xlfn.IFNA( INDEX(LaboratoriosID[ID], MATCH( INDEX(LaboratoriosMaterias[LaboratorioB], MATCH(tDatosMaestros[[#This Row],[ASIGNATURA]],LaboratoriosMaterias[Materia],0)), LaboratoriosID[Laboratorio],0)), "")</f>
        <v/>
      </c>
      <c r="N121">
        <v>0</v>
      </c>
      <c r="O121">
        <v>0</v>
      </c>
    </row>
    <row r="122" spans="1:15" x14ac:dyDescent="0.25">
      <c r="A122" s="1">
        <v>5625</v>
      </c>
      <c r="B122" s="24" t="str">
        <f>"Nombre maestro "&amp;tDatosMaestros[[#This Row],[NO_CONTROL]]</f>
        <v>Nombre maestro 5625</v>
      </c>
      <c r="C122" s="24" t="s">
        <v>19</v>
      </c>
      <c r="D122" s="1">
        <v>4</v>
      </c>
      <c r="E122" s="1" t="s">
        <v>17</v>
      </c>
      <c r="F122" t="s">
        <v>9</v>
      </c>
      <c r="G122" t="s">
        <v>10</v>
      </c>
      <c r="H122" t="s">
        <v>102</v>
      </c>
      <c r="K122">
        <f>IF(tDatosMaestros[[#This Row],[TIPO PROFESOR]]="HRS", 3,2)</f>
        <v>3</v>
      </c>
      <c r="L122" t="str">
        <f>_xlfn.IFNA( INDEX(LaboratoriosID[ID], MATCH( INDEX(LaboratoriosMaterias[Laboratorio], MATCH(tDatosMaestros[[#This Row],[ASIGNATURA]],LaboratoriosMaterias[Materia],0)), LaboratoriosID[Laboratorio],0)), "")</f>
        <v/>
      </c>
      <c r="M122" t="str">
        <f>_xlfn.IFNA( INDEX(LaboratoriosID[ID], MATCH( INDEX(LaboratoriosMaterias[LaboratorioB], MATCH(tDatosMaestros[[#This Row],[ASIGNATURA]],LaboratoriosMaterias[Materia],0)), LaboratoriosID[Laboratorio],0)), "")</f>
        <v/>
      </c>
      <c r="N122">
        <v>0</v>
      </c>
      <c r="O122">
        <v>0</v>
      </c>
    </row>
    <row r="123" spans="1:15" x14ac:dyDescent="0.25">
      <c r="A123" s="1">
        <v>5625</v>
      </c>
      <c r="B123" s="24" t="str">
        <f>"Nombre maestro "&amp;tDatosMaestros[[#This Row],[NO_CONTROL]]</f>
        <v>Nombre maestro 5625</v>
      </c>
      <c r="C123" s="24" t="s">
        <v>19</v>
      </c>
      <c r="D123" s="1">
        <v>4</v>
      </c>
      <c r="E123" s="1" t="s">
        <v>43</v>
      </c>
      <c r="F123" t="s">
        <v>9</v>
      </c>
      <c r="G123" t="s">
        <v>10</v>
      </c>
      <c r="H123" t="s">
        <v>102</v>
      </c>
      <c r="K123">
        <f>IF(tDatosMaestros[[#This Row],[TIPO PROFESOR]]="HRS", 3,2)</f>
        <v>3</v>
      </c>
      <c r="L123" t="str">
        <f>_xlfn.IFNA( INDEX(LaboratoriosID[ID], MATCH( INDEX(LaboratoriosMaterias[Laboratorio], MATCH(tDatosMaestros[[#This Row],[ASIGNATURA]],LaboratoriosMaterias[Materia],0)), LaboratoriosID[Laboratorio],0)), "")</f>
        <v/>
      </c>
      <c r="M123" t="str">
        <f>_xlfn.IFNA( INDEX(LaboratoriosID[ID], MATCH( INDEX(LaboratoriosMaterias[LaboratorioB], MATCH(tDatosMaestros[[#This Row],[ASIGNATURA]],LaboratoriosMaterias[Materia],0)), LaboratoriosID[Laboratorio],0)), "")</f>
        <v/>
      </c>
      <c r="N123">
        <v>0</v>
      </c>
      <c r="O123">
        <v>0</v>
      </c>
    </row>
    <row r="124" spans="1:15" x14ac:dyDescent="0.25">
      <c r="A124" s="1">
        <v>5691</v>
      </c>
      <c r="B124" s="24" t="str">
        <f>"Nombre maestro "&amp;tDatosMaestros[[#This Row],[NO_CONTROL]]</f>
        <v>Nombre maestro 5691</v>
      </c>
      <c r="C124" s="24" t="s">
        <v>13</v>
      </c>
      <c r="D124" s="1">
        <v>4</v>
      </c>
      <c r="E124" s="1" t="s">
        <v>35</v>
      </c>
      <c r="F124" t="s">
        <v>9</v>
      </c>
      <c r="G124" t="s">
        <v>10</v>
      </c>
      <c r="H124" t="s">
        <v>100</v>
      </c>
      <c r="K124">
        <f>IF(tDatosMaestros[[#This Row],[TIPO PROFESOR]]="HRS", 3,2)</f>
        <v>3</v>
      </c>
      <c r="L124" t="str">
        <f>_xlfn.IFNA( INDEX(LaboratoriosID[ID], MATCH( INDEX(LaboratoriosMaterias[Laboratorio], MATCH(tDatosMaestros[[#This Row],[ASIGNATURA]],LaboratoriosMaterias[Materia],0)), LaboratoriosID[Laboratorio],0)), "")</f>
        <v/>
      </c>
      <c r="M124" t="str">
        <f>_xlfn.IFNA( INDEX(LaboratoriosID[ID], MATCH( INDEX(LaboratoriosMaterias[LaboratorioB], MATCH(tDatosMaestros[[#This Row],[ASIGNATURA]],LaboratoriosMaterias[Materia],0)), LaboratoriosID[Laboratorio],0)), "")</f>
        <v/>
      </c>
      <c r="N124">
        <v>0</v>
      </c>
      <c r="O124">
        <v>0</v>
      </c>
    </row>
    <row r="125" spans="1:15" x14ac:dyDescent="0.25">
      <c r="A125" s="1">
        <v>5691</v>
      </c>
      <c r="B125" s="24" t="str">
        <f>"Nombre maestro "&amp;tDatosMaestros[[#This Row],[NO_CONTROL]]</f>
        <v>Nombre maestro 5691</v>
      </c>
      <c r="C125" s="24" t="s">
        <v>13</v>
      </c>
      <c r="D125" s="1">
        <v>4</v>
      </c>
      <c r="E125" s="1" t="s">
        <v>36</v>
      </c>
      <c r="F125" t="s">
        <v>9</v>
      </c>
      <c r="G125" t="s">
        <v>10</v>
      </c>
      <c r="H125" t="s">
        <v>100</v>
      </c>
      <c r="K125">
        <f>IF(tDatosMaestros[[#This Row],[TIPO PROFESOR]]="HRS", 3,2)</f>
        <v>3</v>
      </c>
      <c r="L125" t="str">
        <f>_xlfn.IFNA( INDEX(LaboratoriosID[ID], MATCH( INDEX(LaboratoriosMaterias[Laboratorio], MATCH(tDatosMaestros[[#This Row],[ASIGNATURA]],LaboratoriosMaterias[Materia],0)), LaboratoriosID[Laboratorio],0)), "")</f>
        <v/>
      </c>
      <c r="M125" t="str">
        <f>_xlfn.IFNA( INDEX(LaboratoriosID[ID], MATCH( INDEX(LaboratoriosMaterias[LaboratorioB], MATCH(tDatosMaestros[[#This Row],[ASIGNATURA]],LaboratoriosMaterias[Materia],0)), LaboratoriosID[Laboratorio],0)), "")</f>
        <v/>
      </c>
      <c r="N125">
        <v>0</v>
      </c>
      <c r="O125">
        <v>0</v>
      </c>
    </row>
    <row r="126" spans="1:15" x14ac:dyDescent="0.25">
      <c r="A126" s="1">
        <v>5691</v>
      </c>
      <c r="B126" s="24" t="str">
        <f>"Nombre maestro "&amp;tDatosMaestros[[#This Row],[NO_CONTROL]]</f>
        <v>Nombre maestro 5691</v>
      </c>
      <c r="C126" s="24" t="s">
        <v>13</v>
      </c>
      <c r="D126" s="1">
        <v>4</v>
      </c>
      <c r="E126" s="1" t="s">
        <v>37</v>
      </c>
      <c r="F126" t="s">
        <v>9</v>
      </c>
      <c r="G126" t="s">
        <v>10</v>
      </c>
      <c r="H126" t="s">
        <v>100</v>
      </c>
      <c r="K126">
        <f>IF(tDatosMaestros[[#This Row],[TIPO PROFESOR]]="HRS", 3,2)</f>
        <v>3</v>
      </c>
      <c r="L126" t="str">
        <f>_xlfn.IFNA( INDEX(LaboratoriosID[ID], MATCH( INDEX(LaboratoriosMaterias[Laboratorio], MATCH(tDatosMaestros[[#This Row],[ASIGNATURA]],LaboratoriosMaterias[Materia],0)), LaboratoriosID[Laboratorio],0)), "")</f>
        <v/>
      </c>
      <c r="M126" t="str">
        <f>_xlfn.IFNA( INDEX(LaboratoriosID[ID], MATCH( INDEX(LaboratoriosMaterias[LaboratorioB], MATCH(tDatosMaestros[[#This Row],[ASIGNATURA]],LaboratoriosMaterias[Materia],0)), LaboratoriosID[Laboratorio],0)), "")</f>
        <v/>
      </c>
      <c r="N126">
        <v>0</v>
      </c>
      <c r="O126">
        <v>0</v>
      </c>
    </row>
    <row r="127" spans="1:15" x14ac:dyDescent="0.25">
      <c r="A127" s="1">
        <v>6024</v>
      </c>
      <c r="B127" s="24" t="str">
        <f>"Nombre maestro "&amp;tDatosMaestros[[#This Row],[NO_CONTROL]]</f>
        <v>Nombre maestro 6024</v>
      </c>
      <c r="C127" s="24" t="s">
        <v>68</v>
      </c>
      <c r="D127" s="1">
        <v>4</v>
      </c>
      <c r="E127" s="1" t="s">
        <v>35</v>
      </c>
      <c r="F127" t="s">
        <v>9</v>
      </c>
      <c r="G127" t="s">
        <v>10</v>
      </c>
      <c r="H127" t="s">
        <v>135</v>
      </c>
      <c r="K127">
        <f>IF(tDatosMaestros[[#This Row],[TIPO PROFESOR]]="HRS", 3,2)</f>
        <v>3</v>
      </c>
      <c r="L127" t="str">
        <f>_xlfn.IFNA( INDEX(LaboratoriosID[ID], MATCH( INDEX(LaboratoriosMaterias[Laboratorio], MATCH(tDatosMaestros[[#This Row],[ASIGNATURA]],LaboratoriosMaterias[Materia],0)), LaboratoriosID[Laboratorio],0)), "")</f>
        <v/>
      </c>
      <c r="M127" t="str">
        <f>_xlfn.IFNA( INDEX(LaboratoriosID[ID], MATCH( INDEX(LaboratoriosMaterias[LaboratorioB], MATCH(tDatosMaestros[[#This Row],[ASIGNATURA]],LaboratoriosMaterias[Materia],0)), LaboratoriosID[Laboratorio],0)), "")</f>
        <v/>
      </c>
      <c r="N127">
        <v>0</v>
      </c>
      <c r="O127">
        <v>0</v>
      </c>
    </row>
    <row r="128" spans="1:15" x14ac:dyDescent="0.25">
      <c r="A128" s="1">
        <v>6024</v>
      </c>
      <c r="B128" s="24" t="str">
        <f>"Nombre maestro "&amp;tDatosMaestros[[#This Row],[NO_CONTROL]]</f>
        <v>Nombre maestro 6024</v>
      </c>
      <c r="C128" s="24" t="s">
        <v>68</v>
      </c>
      <c r="D128" s="1">
        <v>4</v>
      </c>
      <c r="E128" s="1" t="s">
        <v>36</v>
      </c>
      <c r="F128" t="s">
        <v>9</v>
      </c>
      <c r="G128" t="s">
        <v>10</v>
      </c>
      <c r="H128" t="s">
        <v>135</v>
      </c>
      <c r="K128">
        <f>IF(tDatosMaestros[[#This Row],[TIPO PROFESOR]]="HRS", 3,2)</f>
        <v>3</v>
      </c>
      <c r="L128" t="str">
        <f>_xlfn.IFNA( INDEX(LaboratoriosID[ID], MATCH( INDEX(LaboratoriosMaterias[Laboratorio], MATCH(tDatosMaestros[[#This Row],[ASIGNATURA]],LaboratoriosMaterias[Materia],0)), LaboratoriosID[Laboratorio],0)), "")</f>
        <v/>
      </c>
      <c r="M128" t="str">
        <f>_xlfn.IFNA( INDEX(LaboratoriosID[ID], MATCH( INDEX(LaboratoriosMaterias[LaboratorioB], MATCH(tDatosMaestros[[#This Row],[ASIGNATURA]],LaboratoriosMaterias[Materia],0)), LaboratoriosID[Laboratorio],0)), "")</f>
        <v/>
      </c>
      <c r="N128">
        <v>0</v>
      </c>
      <c r="O128">
        <v>0</v>
      </c>
    </row>
    <row r="129" spans="1:15" x14ac:dyDescent="0.25">
      <c r="A129" s="1">
        <v>6024</v>
      </c>
      <c r="B129" s="24" t="str">
        <f>"Nombre maestro "&amp;tDatosMaestros[[#This Row],[NO_CONTROL]]</f>
        <v>Nombre maestro 6024</v>
      </c>
      <c r="C129" s="24" t="s">
        <v>68</v>
      </c>
      <c r="D129" s="1">
        <v>4</v>
      </c>
      <c r="E129" s="1" t="s">
        <v>37</v>
      </c>
      <c r="F129" t="s">
        <v>9</v>
      </c>
      <c r="G129" t="s">
        <v>10</v>
      </c>
      <c r="H129" t="s">
        <v>135</v>
      </c>
      <c r="K129">
        <f>IF(tDatosMaestros[[#This Row],[TIPO PROFESOR]]="HRS", 3,2)</f>
        <v>3</v>
      </c>
      <c r="L129" t="str">
        <f>_xlfn.IFNA( INDEX(LaboratoriosID[ID], MATCH( INDEX(LaboratoriosMaterias[Laboratorio], MATCH(tDatosMaestros[[#This Row],[ASIGNATURA]],LaboratoriosMaterias[Materia],0)), LaboratoriosID[Laboratorio],0)), "")</f>
        <v/>
      </c>
      <c r="M129" t="str">
        <f>_xlfn.IFNA( INDEX(LaboratoriosID[ID], MATCH( INDEX(LaboratoriosMaterias[LaboratorioB], MATCH(tDatosMaestros[[#This Row],[ASIGNATURA]],LaboratoriosMaterias[Materia],0)), LaboratoriosID[Laboratorio],0)), "")</f>
        <v/>
      </c>
      <c r="N129">
        <v>0</v>
      </c>
      <c r="O129">
        <v>0</v>
      </c>
    </row>
    <row r="130" spans="1:15" x14ac:dyDescent="0.25">
      <c r="A130" s="1">
        <v>6024</v>
      </c>
      <c r="B130" s="24" t="str">
        <f>"Nombre maestro "&amp;tDatosMaestros[[#This Row],[NO_CONTROL]]</f>
        <v>Nombre maestro 6024</v>
      </c>
      <c r="C130" s="24" t="s">
        <v>68</v>
      </c>
      <c r="D130" s="1">
        <v>4</v>
      </c>
      <c r="E130" s="1" t="s">
        <v>14</v>
      </c>
      <c r="F130" t="s">
        <v>9</v>
      </c>
      <c r="G130" t="s">
        <v>10</v>
      </c>
      <c r="H130" t="s">
        <v>135</v>
      </c>
      <c r="K130">
        <f>IF(tDatosMaestros[[#This Row],[TIPO PROFESOR]]="HRS", 3,2)</f>
        <v>3</v>
      </c>
      <c r="L130" t="str">
        <f>_xlfn.IFNA( INDEX(LaboratoriosID[ID], MATCH( INDEX(LaboratoriosMaterias[Laboratorio], MATCH(tDatosMaestros[[#This Row],[ASIGNATURA]],LaboratoriosMaterias[Materia],0)), LaboratoriosID[Laboratorio],0)), "")</f>
        <v/>
      </c>
      <c r="M130" t="str">
        <f>_xlfn.IFNA( INDEX(LaboratoriosID[ID], MATCH( INDEX(LaboratoriosMaterias[LaboratorioB], MATCH(tDatosMaestros[[#This Row],[ASIGNATURA]],LaboratoriosMaterias[Materia],0)), LaboratoriosID[Laboratorio],0)), "")</f>
        <v/>
      </c>
      <c r="N130">
        <v>0</v>
      </c>
      <c r="O130">
        <v>0</v>
      </c>
    </row>
    <row r="131" spans="1:15" x14ac:dyDescent="0.25">
      <c r="A131" s="1">
        <v>6030</v>
      </c>
      <c r="B131" s="24" t="str">
        <f>"Nombre maestro "&amp;tDatosMaestros[[#This Row],[NO_CONTROL]]</f>
        <v>Nombre maestro 6030</v>
      </c>
      <c r="C131" s="24" t="s">
        <v>69</v>
      </c>
      <c r="D131" s="1">
        <v>4</v>
      </c>
      <c r="E131" s="1" t="s">
        <v>36</v>
      </c>
      <c r="F131" t="s">
        <v>9</v>
      </c>
      <c r="G131" t="s">
        <v>10</v>
      </c>
      <c r="H131" t="s">
        <v>136</v>
      </c>
      <c r="K131">
        <f>IF(tDatosMaestros[[#This Row],[TIPO PROFESOR]]="HRS", 3,2)</f>
        <v>3</v>
      </c>
      <c r="L131" t="str">
        <f>_xlfn.IFNA( INDEX(LaboratoriosID[ID], MATCH( INDEX(LaboratoriosMaterias[Laboratorio], MATCH(tDatosMaestros[[#This Row],[ASIGNATURA]],LaboratoriosMaterias[Materia],0)), LaboratoriosID[Laboratorio],0)), "")</f>
        <v/>
      </c>
      <c r="M131" t="str">
        <f>_xlfn.IFNA( INDEX(LaboratoriosID[ID], MATCH( INDEX(LaboratoriosMaterias[LaboratorioB], MATCH(tDatosMaestros[[#This Row],[ASIGNATURA]],LaboratoriosMaterias[Materia],0)), LaboratoriosID[Laboratorio],0)), "")</f>
        <v/>
      </c>
      <c r="N131">
        <v>0</v>
      </c>
      <c r="O131">
        <v>0</v>
      </c>
    </row>
    <row r="132" spans="1:15" x14ac:dyDescent="0.25">
      <c r="A132" s="1">
        <v>6030</v>
      </c>
      <c r="B132" s="24" t="str">
        <f>"Nombre maestro "&amp;tDatosMaestros[[#This Row],[NO_CONTROL]]</f>
        <v>Nombre maestro 6030</v>
      </c>
      <c r="C132" s="24" t="s">
        <v>69</v>
      </c>
      <c r="D132" s="1">
        <v>4</v>
      </c>
      <c r="E132" s="1" t="s">
        <v>37</v>
      </c>
      <c r="F132" t="s">
        <v>9</v>
      </c>
      <c r="G132" t="s">
        <v>10</v>
      </c>
      <c r="H132" t="s">
        <v>136</v>
      </c>
      <c r="K132">
        <f>IF(tDatosMaestros[[#This Row],[TIPO PROFESOR]]="HRS", 3,2)</f>
        <v>3</v>
      </c>
      <c r="L132" t="str">
        <f>_xlfn.IFNA( INDEX(LaboratoriosID[ID], MATCH( INDEX(LaboratoriosMaterias[Laboratorio], MATCH(tDatosMaestros[[#This Row],[ASIGNATURA]],LaboratoriosMaterias[Materia],0)), LaboratoriosID[Laboratorio],0)), "")</f>
        <v/>
      </c>
      <c r="M132" t="str">
        <f>_xlfn.IFNA( INDEX(LaboratoriosID[ID], MATCH( INDEX(LaboratoriosMaterias[LaboratorioB], MATCH(tDatosMaestros[[#This Row],[ASIGNATURA]],LaboratoriosMaterias[Materia],0)), LaboratoriosID[Laboratorio],0)), "")</f>
        <v/>
      </c>
      <c r="N132">
        <v>0</v>
      </c>
      <c r="O132">
        <v>0</v>
      </c>
    </row>
    <row r="133" spans="1:15" x14ac:dyDescent="0.25">
      <c r="A133" s="1">
        <v>6030</v>
      </c>
      <c r="B133" s="24" t="str">
        <f>"Nombre maestro "&amp;tDatosMaestros[[#This Row],[NO_CONTROL]]</f>
        <v>Nombre maestro 6030</v>
      </c>
      <c r="C133" s="24" t="s">
        <v>69</v>
      </c>
      <c r="D133" s="1">
        <v>4</v>
      </c>
      <c r="E133" s="1" t="s">
        <v>14</v>
      </c>
      <c r="F133" t="s">
        <v>9</v>
      </c>
      <c r="G133" t="s">
        <v>10</v>
      </c>
      <c r="H133" t="s">
        <v>136</v>
      </c>
      <c r="K133">
        <f>IF(tDatosMaestros[[#This Row],[TIPO PROFESOR]]="HRS", 3,2)</f>
        <v>3</v>
      </c>
      <c r="L133" t="str">
        <f>_xlfn.IFNA( INDEX(LaboratoriosID[ID], MATCH( INDEX(LaboratoriosMaterias[Laboratorio], MATCH(tDatosMaestros[[#This Row],[ASIGNATURA]],LaboratoriosMaterias[Materia],0)), LaboratoriosID[Laboratorio],0)), "")</f>
        <v/>
      </c>
      <c r="M133" t="str">
        <f>_xlfn.IFNA( INDEX(LaboratoriosID[ID], MATCH( INDEX(LaboratoriosMaterias[LaboratorioB], MATCH(tDatosMaestros[[#This Row],[ASIGNATURA]],LaboratoriosMaterias[Materia],0)), LaboratoriosID[Laboratorio],0)), "")</f>
        <v/>
      </c>
      <c r="N133">
        <v>0</v>
      </c>
      <c r="O133">
        <v>0</v>
      </c>
    </row>
    <row r="134" spans="1:15" x14ac:dyDescent="0.25">
      <c r="A134" s="1">
        <v>6030</v>
      </c>
      <c r="B134" s="24" t="str">
        <f>"Nombre maestro "&amp;tDatosMaestros[[#This Row],[NO_CONTROL]]</f>
        <v>Nombre maestro 6030</v>
      </c>
      <c r="C134" s="25" t="s">
        <v>11</v>
      </c>
      <c r="D134" s="1">
        <v>4</v>
      </c>
      <c r="E134" s="1" t="s">
        <v>30</v>
      </c>
      <c r="F134" t="s">
        <v>9</v>
      </c>
      <c r="G134" t="s">
        <v>10</v>
      </c>
      <c r="H134" t="s">
        <v>99</v>
      </c>
      <c r="K134">
        <f>IF(tDatosMaestros[[#This Row],[TIPO PROFESOR]]="HRS", 3,2)</f>
        <v>3</v>
      </c>
      <c r="L134" t="str">
        <f>_xlfn.IFNA( INDEX(LaboratoriosID[ID], MATCH( INDEX(LaboratoriosMaterias[Laboratorio], MATCH(tDatosMaestros[[#This Row],[ASIGNATURA]],LaboratoriosMaterias[Materia],0)), LaboratoriosID[Laboratorio],0)), "")</f>
        <v/>
      </c>
      <c r="M134" t="str">
        <f>_xlfn.IFNA( INDEX(LaboratoriosID[ID], MATCH( INDEX(LaboratoriosMaterias[LaboratorioB], MATCH(tDatosMaestros[[#This Row],[ASIGNATURA]],LaboratoriosMaterias[Materia],0)), LaboratoriosID[Laboratorio],0)), "")</f>
        <v/>
      </c>
      <c r="N134">
        <v>0</v>
      </c>
      <c r="O134">
        <v>0</v>
      </c>
    </row>
    <row r="135" spans="1:15" x14ac:dyDescent="0.25">
      <c r="A135" s="1">
        <v>6030</v>
      </c>
      <c r="B135" s="24" t="str">
        <f>"Nombre maestro "&amp;tDatosMaestros[[#This Row],[NO_CONTROL]]</f>
        <v>Nombre maestro 6030</v>
      </c>
      <c r="C135" s="24" t="s">
        <v>7</v>
      </c>
      <c r="D135" s="1">
        <v>4</v>
      </c>
      <c r="E135" s="1" t="s">
        <v>43</v>
      </c>
      <c r="F135" t="s">
        <v>9</v>
      </c>
      <c r="G135" t="s">
        <v>10</v>
      </c>
      <c r="H135" t="s">
        <v>94</v>
      </c>
      <c r="K135">
        <f>IF(tDatosMaestros[[#This Row],[TIPO PROFESOR]]="HRS", 3,2)</f>
        <v>3</v>
      </c>
      <c r="L135" t="str">
        <f>_xlfn.IFNA( INDEX(LaboratoriosID[ID], MATCH( INDEX(LaboratoriosMaterias[Laboratorio], MATCH(tDatosMaestros[[#This Row],[ASIGNATURA]],LaboratoriosMaterias[Materia],0)), LaboratoriosID[Laboratorio],0)), "")</f>
        <v/>
      </c>
      <c r="M135" t="str">
        <f>_xlfn.IFNA( INDEX(LaboratoriosID[ID], MATCH( INDEX(LaboratoriosMaterias[LaboratorioB], MATCH(tDatosMaestros[[#This Row],[ASIGNATURA]],LaboratoriosMaterias[Materia],0)), LaboratoriosID[Laboratorio],0)), "")</f>
        <v/>
      </c>
      <c r="N135">
        <v>0</v>
      </c>
      <c r="O135">
        <v>0</v>
      </c>
    </row>
    <row r="136" spans="1:15" x14ac:dyDescent="0.25">
      <c r="A136" s="1">
        <v>6130</v>
      </c>
      <c r="B136" s="24" t="str">
        <f>"Nombre maestro "&amp;tDatosMaestros[[#This Row],[NO_CONTROL]]</f>
        <v>Nombre maestro 6130</v>
      </c>
      <c r="C136" s="24" t="s">
        <v>7</v>
      </c>
      <c r="D136" s="1">
        <v>4</v>
      </c>
      <c r="E136" s="1" t="s">
        <v>8</v>
      </c>
      <c r="F136" t="s">
        <v>9</v>
      </c>
      <c r="G136" t="s">
        <v>10</v>
      </c>
      <c r="H136" t="s">
        <v>94</v>
      </c>
      <c r="K136">
        <f>IF(tDatosMaestros[[#This Row],[TIPO PROFESOR]]="HRS", 3,2)</f>
        <v>3</v>
      </c>
      <c r="L136" t="str">
        <f>_xlfn.IFNA( INDEX(LaboratoriosID[ID], MATCH( INDEX(LaboratoriosMaterias[Laboratorio], MATCH(tDatosMaestros[[#This Row],[ASIGNATURA]],LaboratoriosMaterias[Materia],0)), LaboratoriosID[Laboratorio],0)), "")</f>
        <v/>
      </c>
      <c r="M136" t="str">
        <f>_xlfn.IFNA( INDEX(LaboratoriosID[ID], MATCH( INDEX(LaboratoriosMaterias[LaboratorioB], MATCH(tDatosMaestros[[#This Row],[ASIGNATURA]],LaboratoriosMaterias[Materia],0)), LaboratoriosID[Laboratorio],0)), "")</f>
        <v/>
      </c>
      <c r="N136">
        <v>0</v>
      </c>
      <c r="O136">
        <v>0</v>
      </c>
    </row>
    <row r="137" spans="1:15" x14ac:dyDescent="0.25">
      <c r="A137" s="1">
        <v>6130</v>
      </c>
      <c r="B137" s="24" t="str">
        <f>"Nombre maestro "&amp;tDatosMaestros[[#This Row],[NO_CONTROL]]</f>
        <v>Nombre maestro 6130</v>
      </c>
      <c r="C137" s="24" t="s">
        <v>11</v>
      </c>
      <c r="D137" s="1">
        <v>4</v>
      </c>
      <c r="E137" s="1" t="s">
        <v>12</v>
      </c>
      <c r="F137" t="s">
        <v>9</v>
      </c>
      <c r="G137" t="s">
        <v>10</v>
      </c>
      <c r="H137" t="s">
        <v>99</v>
      </c>
      <c r="K137">
        <f>IF(tDatosMaestros[[#This Row],[TIPO PROFESOR]]="HRS", 3,2)</f>
        <v>3</v>
      </c>
      <c r="L137" t="str">
        <f>_xlfn.IFNA( INDEX(LaboratoriosID[ID], MATCH( INDEX(LaboratoriosMaterias[Laboratorio], MATCH(tDatosMaestros[[#This Row],[ASIGNATURA]],LaboratoriosMaterias[Materia],0)), LaboratoriosID[Laboratorio],0)), "")</f>
        <v/>
      </c>
      <c r="M137" t="str">
        <f>_xlfn.IFNA( INDEX(LaboratoriosID[ID], MATCH( INDEX(LaboratoriosMaterias[LaboratorioB], MATCH(tDatosMaestros[[#This Row],[ASIGNATURA]],LaboratoriosMaterias[Materia],0)), LaboratoriosID[Laboratorio],0)), "")</f>
        <v/>
      </c>
      <c r="N137">
        <v>0</v>
      </c>
      <c r="O137">
        <v>0</v>
      </c>
    </row>
    <row r="138" spans="1:15" x14ac:dyDescent="0.25">
      <c r="A138" s="1">
        <v>6130</v>
      </c>
      <c r="B138" s="24" t="str">
        <f>"Nombre maestro "&amp;tDatosMaestros[[#This Row],[NO_CONTROL]]</f>
        <v>Nombre maestro 6130</v>
      </c>
      <c r="C138" s="24" t="s">
        <v>13</v>
      </c>
      <c r="D138" s="1">
        <v>4</v>
      </c>
      <c r="E138" s="1" t="s">
        <v>14</v>
      </c>
      <c r="F138" t="s">
        <v>9</v>
      </c>
      <c r="G138" t="s">
        <v>10</v>
      </c>
      <c r="H138" t="s">
        <v>100</v>
      </c>
      <c r="K138">
        <f>IF(tDatosMaestros[[#This Row],[TIPO PROFESOR]]="HRS", 3,2)</f>
        <v>3</v>
      </c>
      <c r="L138" t="str">
        <f>_xlfn.IFNA( INDEX(LaboratoriosID[ID], MATCH( INDEX(LaboratoriosMaterias[Laboratorio], MATCH(tDatosMaestros[[#This Row],[ASIGNATURA]],LaboratoriosMaterias[Materia],0)), LaboratoriosID[Laboratorio],0)), "")</f>
        <v/>
      </c>
      <c r="M138" t="str">
        <f>_xlfn.IFNA( INDEX(LaboratoriosID[ID], MATCH( INDEX(LaboratoriosMaterias[LaboratorioB], MATCH(tDatosMaestros[[#This Row],[ASIGNATURA]],LaboratoriosMaterias[Materia],0)), LaboratoriosID[Laboratorio],0)), "")</f>
        <v/>
      </c>
      <c r="N138">
        <v>0</v>
      </c>
      <c r="O138">
        <v>0</v>
      </c>
    </row>
    <row r="139" spans="1:15" x14ac:dyDescent="0.25">
      <c r="A139" s="1">
        <v>6327</v>
      </c>
      <c r="B139" s="24" t="str">
        <f>"Nombre maestro "&amp;tDatosMaestros[[#This Row],[NO_CONTROL]]</f>
        <v>Nombre maestro 6327</v>
      </c>
      <c r="C139" s="24" t="s">
        <v>42</v>
      </c>
      <c r="D139" s="1">
        <v>5</v>
      </c>
      <c r="E139" s="1" t="s">
        <v>12</v>
      </c>
      <c r="F139" t="s">
        <v>9</v>
      </c>
      <c r="G139" t="s">
        <v>10</v>
      </c>
      <c r="H139" t="s">
        <v>110</v>
      </c>
      <c r="K139">
        <f>IF(tDatosMaestros[[#This Row],[TIPO PROFESOR]]="HRS", 3,2)</f>
        <v>3</v>
      </c>
      <c r="L139" t="str">
        <f>_xlfn.IFNA( INDEX(LaboratoriosID[ID], MATCH( INDEX(LaboratoriosMaterias[Laboratorio], MATCH(tDatosMaestros[[#This Row],[ASIGNATURA]],LaboratoriosMaterias[Materia],0)), LaboratoriosID[Laboratorio],0)), "")</f>
        <v/>
      </c>
      <c r="M139" t="str">
        <f>_xlfn.IFNA( INDEX(LaboratoriosID[ID], MATCH( INDEX(LaboratoriosMaterias[LaboratorioB], MATCH(tDatosMaestros[[#This Row],[ASIGNATURA]],LaboratoriosMaterias[Materia],0)), LaboratoriosID[Laboratorio],0)), "")</f>
        <v/>
      </c>
      <c r="N139">
        <v>0</v>
      </c>
      <c r="O139">
        <v>0</v>
      </c>
    </row>
    <row r="140" spans="1:15" x14ac:dyDescent="0.25">
      <c r="A140" s="1">
        <v>6327</v>
      </c>
      <c r="B140" s="24" t="str">
        <f>"Nombre maestro "&amp;tDatosMaestros[[#This Row],[NO_CONTROL]]</f>
        <v>Nombre maestro 6327</v>
      </c>
      <c r="C140" s="24" t="s">
        <v>42</v>
      </c>
      <c r="D140" s="1">
        <v>5</v>
      </c>
      <c r="E140" s="1" t="s">
        <v>30</v>
      </c>
      <c r="F140" t="s">
        <v>9</v>
      </c>
      <c r="G140" t="s">
        <v>10</v>
      </c>
      <c r="H140" t="s">
        <v>110</v>
      </c>
      <c r="K140">
        <f>IF(tDatosMaestros[[#This Row],[TIPO PROFESOR]]="HRS", 3,2)</f>
        <v>3</v>
      </c>
      <c r="L140" t="str">
        <f>_xlfn.IFNA( INDEX(LaboratoriosID[ID], MATCH( INDEX(LaboratoriosMaterias[Laboratorio], MATCH(tDatosMaestros[[#This Row],[ASIGNATURA]],LaboratoriosMaterias[Materia],0)), LaboratoriosID[Laboratorio],0)), "")</f>
        <v/>
      </c>
      <c r="M140" t="str">
        <f>_xlfn.IFNA( INDEX(LaboratoriosID[ID], MATCH( INDEX(LaboratoriosMaterias[LaboratorioB], MATCH(tDatosMaestros[[#This Row],[ASIGNATURA]],LaboratoriosMaterias[Materia],0)), LaboratoriosID[Laboratorio],0)), "")</f>
        <v/>
      </c>
      <c r="N140">
        <v>0</v>
      </c>
      <c r="O140">
        <v>0</v>
      </c>
    </row>
    <row r="141" spans="1:15" x14ac:dyDescent="0.25">
      <c r="A141" s="1">
        <v>6327</v>
      </c>
      <c r="B141" s="24" t="str">
        <f>"Nombre maestro "&amp;tDatosMaestros[[#This Row],[NO_CONTROL]]</f>
        <v>Nombre maestro 6327</v>
      </c>
      <c r="C141" s="24" t="s">
        <v>42</v>
      </c>
      <c r="D141" s="1">
        <v>5</v>
      </c>
      <c r="E141" s="1" t="s">
        <v>20</v>
      </c>
      <c r="F141" t="s">
        <v>9</v>
      </c>
      <c r="G141" t="s">
        <v>10</v>
      </c>
      <c r="H141" t="s">
        <v>110</v>
      </c>
      <c r="K141">
        <f>IF(tDatosMaestros[[#This Row],[TIPO PROFESOR]]="HRS", 3,2)</f>
        <v>3</v>
      </c>
      <c r="L141" t="str">
        <f>_xlfn.IFNA( INDEX(LaboratoriosID[ID], MATCH( INDEX(LaboratoriosMaterias[Laboratorio], MATCH(tDatosMaestros[[#This Row],[ASIGNATURA]],LaboratoriosMaterias[Materia],0)), LaboratoriosID[Laboratorio],0)), "")</f>
        <v/>
      </c>
      <c r="M141" t="str">
        <f>_xlfn.IFNA( INDEX(LaboratoriosID[ID], MATCH( INDEX(LaboratoriosMaterias[LaboratorioB], MATCH(tDatosMaestros[[#This Row],[ASIGNATURA]],LaboratoriosMaterias[Materia],0)), LaboratoriosID[Laboratorio],0)), "")</f>
        <v/>
      </c>
      <c r="N141">
        <v>0</v>
      </c>
      <c r="O141">
        <v>0</v>
      </c>
    </row>
    <row r="142" spans="1:15" x14ac:dyDescent="0.25">
      <c r="A142" s="1">
        <v>6327</v>
      </c>
      <c r="B142" s="24" t="str">
        <f>"Nombre maestro "&amp;tDatosMaestros[[#This Row],[NO_CONTROL]]</f>
        <v>Nombre maestro 6327</v>
      </c>
      <c r="C142" s="24" t="s">
        <v>42</v>
      </c>
      <c r="D142" s="1">
        <v>5</v>
      </c>
      <c r="E142" s="1" t="s">
        <v>16</v>
      </c>
      <c r="F142" t="s">
        <v>9</v>
      </c>
      <c r="G142" t="s">
        <v>10</v>
      </c>
      <c r="H142" t="s">
        <v>110</v>
      </c>
      <c r="K142">
        <f>IF(tDatosMaestros[[#This Row],[TIPO PROFESOR]]="HRS", 3,2)</f>
        <v>3</v>
      </c>
      <c r="L142" t="str">
        <f>_xlfn.IFNA( INDEX(LaboratoriosID[ID], MATCH( INDEX(LaboratoriosMaterias[Laboratorio], MATCH(tDatosMaestros[[#This Row],[ASIGNATURA]],LaboratoriosMaterias[Materia],0)), LaboratoriosID[Laboratorio],0)), "")</f>
        <v/>
      </c>
      <c r="M142" t="str">
        <f>_xlfn.IFNA( INDEX(LaboratoriosID[ID], MATCH( INDEX(LaboratoriosMaterias[LaboratorioB], MATCH(tDatosMaestros[[#This Row],[ASIGNATURA]],LaboratoriosMaterias[Materia],0)), LaboratoriosID[Laboratorio],0)), "")</f>
        <v/>
      </c>
      <c r="N142">
        <v>0</v>
      </c>
      <c r="O142">
        <v>0</v>
      </c>
    </row>
    <row r="143" spans="1:15" x14ac:dyDescent="0.25">
      <c r="A143" s="1">
        <v>6327</v>
      </c>
      <c r="B143" s="24" t="str">
        <f>"Nombre maestro "&amp;tDatosMaestros[[#This Row],[NO_CONTROL]]</f>
        <v>Nombre maestro 6327</v>
      </c>
      <c r="C143" s="24" t="s">
        <v>42</v>
      </c>
      <c r="D143" s="1">
        <v>5</v>
      </c>
      <c r="E143" s="1" t="s">
        <v>8</v>
      </c>
      <c r="F143" t="s">
        <v>9</v>
      </c>
      <c r="G143" t="s">
        <v>10</v>
      </c>
      <c r="H143" t="s">
        <v>110</v>
      </c>
      <c r="K143">
        <f>IF(tDatosMaestros[[#This Row],[TIPO PROFESOR]]="HRS", 3,2)</f>
        <v>3</v>
      </c>
      <c r="L143" t="str">
        <f>_xlfn.IFNA( INDEX(LaboratoriosID[ID], MATCH( INDEX(LaboratoriosMaterias[Laboratorio], MATCH(tDatosMaestros[[#This Row],[ASIGNATURA]],LaboratoriosMaterias[Materia],0)), LaboratoriosID[Laboratorio],0)), "")</f>
        <v/>
      </c>
      <c r="M143" t="str">
        <f>_xlfn.IFNA( INDEX(LaboratoriosID[ID], MATCH( INDEX(LaboratoriosMaterias[LaboratorioB], MATCH(tDatosMaestros[[#This Row],[ASIGNATURA]],LaboratoriosMaterias[Materia],0)), LaboratoriosID[Laboratorio],0)), "")</f>
        <v/>
      </c>
      <c r="N143">
        <v>0</v>
      </c>
      <c r="O143">
        <v>0</v>
      </c>
    </row>
    <row r="144" spans="1:15" x14ac:dyDescent="0.25">
      <c r="A144" s="1">
        <v>6610</v>
      </c>
      <c r="B144" s="24" t="str">
        <f>"Nombre maestro "&amp;tDatosMaestros[[#This Row],[NO_CONTROL]]</f>
        <v>Nombre maestro 6610</v>
      </c>
      <c r="C144" s="24" t="s">
        <v>49</v>
      </c>
      <c r="D144" s="1">
        <v>5</v>
      </c>
      <c r="E144" s="1" t="s">
        <v>28</v>
      </c>
      <c r="F144" t="s">
        <v>9</v>
      </c>
      <c r="G144" t="s">
        <v>10</v>
      </c>
      <c r="H144" t="s">
        <v>114</v>
      </c>
      <c r="K144">
        <f>IF(tDatosMaestros[[#This Row],[TIPO PROFESOR]]="HRS", 3,2)</f>
        <v>3</v>
      </c>
      <c r="L144" t="str">
        <f>_xlfn.IFNA( INDEX(LaboratoriosID[ID], MATCH( INDEX(LaboratoriosMaterias[Laboratorio], MATCH(tDatosMaestros[[#This Row],[ASIGNATURA]],LaboratoriosMaterias[Materia],0)), LaboratoriosID[Laboratorio],0)), "")</f>
        <v/>
      </c>
      <c r="M144" t="str">
        <f>_xlfn.IFNA( INDEX(LaboratoriosID[ID], MATCH( INDEX(LaboratoriosMaterias[LaboratorioB], MATCH(tDatosMaestros[[#This Row],[ASIGNATURA]],LaboratoriosMaterias[Materia],0)), LaboratoriosID[Laboratorio],0)), "")</f>
        <v/>
      </c>
      <c r="N144">
        <v>0</v>
      </c>
      <c r="O144">
        <v>0</v>
      </c>
    </row>
    <row r="145" spans="1:15" x14ac:dyDescent="0.25">
      <c r="A145" s="1">
        <v>6610</v>
      </c>
      <c r="B145" s="24" t="str">
        <f>"Nombre maestro "&amp;tDatosMaestros[[#This Row],[NO_CONTROL]]</f>
        <v>Nombre maestro 6610</v>
      </c>
      <c r="C145" s="24" t="s">
        <v>49</v>
      </c>
      <c r="D145" s="1">
        <v>5</v>
      </c>
      <c r="E145" s="1" t="s">
        <v>29</v>
      </c>
      <c r="F145" t="s">
        <v>9</v>
      </c>
      <c r="G145" t="s">
        <v>10</v>
      </c>
      <c r="H145" t="s">
        <v>114</v>
      </c>
      <c r="K145">
        <f>IF(tDatosMaestros[[#This Row],[TIPO PROFESOR]]="HRS", 3,2)</f>
        <v>3</v>
      </c>
      <c r="L145" t="str">
        <f>_xlfn.IFNA( INDEX(LaboratoriosID[ID], MATCH( INDEX(LaboratoriosMaterias[Laboratorio], MATCH(tDatosMaestros[[#This Row],[ASIGNATURA]],LaboratoriosMaterias[Materia],0)), LaboratoriosID[Laboratorio],0)), "")</f>
        <v/>
      </c>
      <c r="M145" t="str">
        <f>_xlfn.IFNA( INDEX(LaboratoriosID[ID], MATCH( INDEX(LaboratoriosMaterias[LaboratorioB], MATCH(tDatosMaestros[[#This Row],[ASIGNATURA]],LaboratoriosMaterias[Materia],0)), LaboratoriosID[Laboratorio],0)), "")</f>
        <v/>
      </c>
      <c r="N145">
        <v>0</v>
      </c>
      <c r="O145">
        <v>0</v>
      </c>
    </row>
    <row r="146" spans="1:15" x14ac:dyDescent="0.25">
      <c r="A146" s="1">
        <v>6610</v>
      </c>
      <c r="B146" s="24" t="str">
        <f>"Nombre maestro "&amp;tDatosMaestros[[#This Row],[NO_CONTROL]]</f>
        <v>Nombre maestro 6610</v>
      </c>
      <c r="C146" s="24" t="s">
        <v>49</v>
      </c>
      <c r="D146" s="1">
        <v>5</v>
      </c>
      <c r="E146" s="1" t="s">
        <v>47</v>
      </c>
      <c r="F146" t="s">
        <v>9</v>
      </c>
      <c r="G146" t="s">
        <v>10</v>
      </c>
      <c r="H146" t="s">
        <v>114</v>
      </c>
      <c r="K146">
        <f>IF(tDatosMaestros[[#This Row],[TIPO PROFESOR]]="HRS", 3,2)</f>
        <v>3</v>
      </c>
      <c r="L146" t="str">
        <f>_xlfn.IFNA( INDEX(LaboratoriosID[ID], MATCH( INDEX(LaboratoriosMaterias[Laboratorio], MATCH(tDatosMaestros[[#This Row],[ASIGNATURA]],LaboratoriosMaterias[Materia],0)), LaboratoriosID[Laboratorio],0)), "")</f>
        <v/>
      </c>
      <c r="M146" t="str">
        <f>_xlfn.IFNA( INDEX(LaboratoriosID[ID], MATCH( INDEX(LaboratoriosMaterias[LaboratorioB], MATCH(tDatosMaestros[[#This Row],[ASIGNATURA]],LaboratoriosMaterias[Materia],0)), LaboratoriosID[Laboratorio],0)), "")</f>
        <v/>
      </c>
      <c r="N146">
        <v>0</v>
      </c>
      <c r="O146">
        <v>0</v>
      </c>
    </row>
    <row r="147" spans="1:15" x14ac:dyDescent="0.25">
      <c r="A147" s="1">
        <v>6610</v>
      </c>
      <c r="B147" s="24" t="str">
        <f>"Nombre maestro "&amp;tDatosMaestros[[#This Row],[NO_CONTROL]]</f>
        <v>Nombre maestro 6610</v>
      </c>
      <c r="C147" s="24" t="s">
        <v>49</v>
      </c>
      <c r="D147" s="1">
        <v>5</v>
      </c>
      <c r="E147" s="1" t="s">
        <v>48</v>
      </c>
      <c r="F147" t="s">
        <v>9</v>
      </c>
      <c r="G147" t="s">
        <v>10</v>
      </c>
      <c r="H147" t="s">
        <v>114</v>
      </c>
      <c r="K147">
        <f>IF(tDatosMaestros[[#This Row],[TIPO PROFESOR]]="HRS", 3,2)</f>
        <v>3</v>
      </c>
      <c r="L147" t="str">
        <f>_xlfn.IFNA( INDEX(LaboratoriosID[ID], MATCH( INDEX(LaboratoriosMaterias[Laboratorio], MATCH(tDatosMaestros[[#This Row],[ASIGNATURA]],LaboratoriosMaterias[Materia],0)), LaboratoriosID[Laboratorio],0)), "")</f>
        <v/>
      </c>
      <c r="M147" t="str">
        <f>_xlfn.IFNA( INDEX(LaboratoriosID[ID], MATCH( INDEX(LaboratoriosMaterias[LaboratorioB], MATCH(tDatosMaestros[[#This Row],[ASIGNATURA]],LaboratoriosMaterias[Materia],0)), LaboratoriosID[Laboratorio],0)), "")</f>
        <v/>
      </c>
      <c r="N147">
        <v>0</v>
      </c>
      <c r="O147">
        <v>0</v>
      </c>
    </row>
    <row r="148" spans="1:15" x14ac:dyDescent="0.25">
      <c r="A148" s="1">
        <v>6610</v>
      </c>
      <c r="B148" s="24" t="str">
        <f>"Nombre maestro "&amp;tDatosMaestros[[#This Row],[NO_CONTROL]]</f>
        <v>Nombre maestro 6610</v>
      </c>
      <c r="C148" s="24" t="s">
        <v>11</v>
      </c>
      <c r="D148" s="1">
        <v>4</v>
      </c>
      <c r="E148" s="1" t="s">
        <v>17</v>
      </c>
      <c r="F148" t="s">
        <v>9</v>
      </c>
      <c r="G148" t="s">
        <v>10</v>
      </c>
      <c r="H148" t="s">
        <v>99</v>
      </c>
      <c r="K148">
        <f>IF(tDatosMaestros[[#This Row],[TIPO PROFESOR]]="HRS", 3,2)</f>
        <v>3</v>
      </c>
      <c r="L148" t="str">
        <f>_xlfn.IFNA( INDEX(LaboratoriosID[ID], MATCH( INDEX(LaboratoriosMaterias[Laboratorio], MATCH(tDatosMaestros[[#This Row],[ASIGNATURA]],LaboratoriosMaterias[Materia],0)), LaboratoriosID[Laboratorio],0)), "")</f>
        <v/>
      </c>
      <c r="M148" t="str">
        <f>_xlfn.IFNA( INDEX(LaboratoriosID[ID], MATCH( INDEX(LaboratoriosMaterias[LaboratorioB], MATCH(tDatosMaestros[[#This Row],[ASIGNATURA]],LaboratoriosMaterias[Materia],0)), LaboratoriosID[Laboratorio],0)), "")</f>
        <v/>
      </c>
      <c r="N148">
        <v>0</v>
      </c>
      <c r="O148">
        <v>0</v>
      </c>
    </row>
    <row r="149" spans="1:15" x14ac:dyDescent="0.25">
      <c r="A149" s="1">
        <v>6610</v>
      </c>
      <c r="B149" s="24" t="str">
        <f>"Nombre maestro "&amp;tDatosMaestros[[#This Row],[NO_CONTROL]]</f>
        <v>Nombre maestro 6610</v>
      </c>
      <c r="C149" s="24" t="s">
        <v>11</v>
      </c>
      <c r="D149" s="1">
        <v>4</v>
      </c>
      <c r="E149" s="1" t="s">
        <v>18</v>
      </c>
      <c r="F149" t="s">
        <v>9</v>
      </c>
      <c r="G149" t="s">
        <v>10</v>
      </c>
      <c r="H149" t="s">
        <v>99</v>
      </c>
      <c r="K149">
        <f>IF(tDatosMaestros[[#This Row],[TIPO PROFESOR]]="HRS", 3,2)</f>
        <v>3</v>
      </c>
      <c r="L149" t="str">
        <f>_xlfn.IFNA( INDEX(LaboratoriosID[ID], MATCH( INDEX(LaboratoriosMaterias[Laboratorio], MATCH(tDatosMaestros[[#This Row],[ASIGNATURA]],LaboratoriosMaterias[Materia],0)), LaboratoriosID[Laboratorio],0)), "")</f>
        <v/>
      </c>
      <c r="M149" t="str">
        <f>_xlfn.IFNA( INDEX(LaboratoriosID[ID], MATCH( INDEX(LaboratoriosMaterias[LaboratorioB], MATCH(tDatosMaestros[[#This Row],[ASIGNATURA]],LaboratoriosMaterias[Materia],0)), LaboratoriosID[Laboratorio],0)), "")</f>
        <v/>
      </c>
      <c r="N149">
        <v>0</v>
      </c>
      <c r="O149">
        <v>0</v>
      </c>
    </row>
    <row r="150" spans="1:15" x14ac:dyDescent="0.25">
      <c r="A150" s="1">
        <v>6610</v>
      </c>
      <c r="B150" s="24" t="str">
        <f>"Nombre maestro "&amp;tDatosMaestros[[#This Row],[NO_CONTROL]]</f>
        <v>Nombre maestro 6610</v>
      </c>
      <c r="C150" s="24" t="s">
        <v>11</v>
      </c>
      <c r="D150" s="1">
        <v>4</v>
      </c>
      <c r="E150" s="1" t="s">
        <v>43</v>
      </c>
      <c r="F150" t="s">
        <v>9</v>
      </c>
      <c r="G150" t="s">
        <v>10</v>
      </c>
      <c r="H150" t="s">
        <v>99</v>
      </c>
      <c r="K150">
        <f>IF(tDatosMaestros[[#This Row],[TIPO PROFESOR]]="HRS", 3,2)</f>
        <v>3</v>
      </c>
      <c r="L150" t="str">
        <f>_xlfn.IFNA( INDEX(LaboratoriosID[ID], MATCH( INDEX(LaboratoriosMaterias[Laboratorio], MATCH(tDatosMaestros[[#This Row],[ASIGNATURA]],LaboratoriosMaterias[Materia],0)), LaboratoriosID[Laboratorio],0)), "")</f>
        <v/>
      </c>
      <c r="M150" t="str">
        <f>_xlfn.IFNA( INDEX(LaboratoriosID[ID], MATCH( INDEX(LaboratoriosMaterias[LaboratorioB], MATCH(tDatosMaestros[[#This Row],[ASIGNATURA]],LaboratoriosMaterias[Materia],0)), LaboratoriosID[Laboratorio],0)), "")</f>
        <v/>
      </c>
      <c r="N150">
        <v>0</v>
      </c>
      <c r="O150">
        <v>0</v>
      </c>
    </row>
    <row r="151" spans="1:15" x14ac:dyDescent="0.25">
      <c r="A151" s="1">
        <v>6783</v>
      </c>
      <c r="B151" s="24" t="str">
        <f>"Nombre maestro "&amp;tDatosMaestros[[#This Row],[NO_CONTROL]]</f>
        <v>Nombre maestro 6783</v>
      </c>
      <c r="C151" s="24" t="s">
        <v>45</v>
      </c>
      <c r="D151" s="1">
        <v>4</v>
      </c>
      <c r="E151" s="1" t="s">
        <v>16</v>
      </c>
      <c r="F151" t="s">
        <v>9</v>
      </c>
      <c r="G151" t="s">
        <v>10</v>
      </c>
      <c r="H151" t="s">
        <v>112</v>
      </c>
      <c r="K151">
        <f>IF(tDatosMaestros[[#This Row],[TIPO PROFESOR]]="HRS", 3,2)</f>
        <v>3</v>
      </c>
      <c r="L151" t="str">
        <f>_xlfn.IFNA( INDEX(LaboratoriosID[ID], MATCH( INDEX(LaboratoriosMaterias[Laboratorio], MATCH(tDatosMaestros[[#This Row],[ASIGNATURA]],LaboratoriosMaterias[Materia],0)), LaboratoriosID[Laboratorio],0)), "")</f>
        <v/>
      </c>
      <c r="M151" t="str">
        <f>_xlfn.IFNA( INDEX(LaboratoriosID[ID], MATCH( INDEX(LaboratoriosMaterias[LaboratorioB], MATCH(tDatosMaestros[[#This Row],[ASIGNATURA]],LaboratoriosMaterias[Materia],0)), LaboratoriosID[Laboratorio],0)), "")</f>
        <v/>
      </c>
      <c r="N151">
        <v>0</v>
      </c>
      <c r="O151">
        <v>0</v>
      </c>
    </row>
    <row r="152" spans="1:15" x14ac:dyDescent="0.25">
      <c r="A152" s="1">
        <v>6783</v>
      </c>
      <c r="B152" s="24" t="str">
        <f>"Nombre maestro "&amp;tDatosMaestros[[#This Row],[NO_CONTROL]]</f>
        <v>Nombre maestro 6783</v>
      </c>
      <c r="C152" s="24" t="s">
        <v>45</v>
      </c>
      <c r="D152" s="1">
        <v>4</v>
      </c>
      <c r="E152" s="1" t="s">
        <v>8</v>
      </c>
      <c r="F152" t="s">
        <v>9</v>
      </c>
      <c r="G152" t="s">
        <v>10</v>
      </c>
      <c r="H152" t="s">
        <v>112</v>
      </c>
      <c r="K152">
        <f>IF(tDatosMaestros[[#This Row],[TIPO PROFESOR]]="HRS", 3,2)</f>
        <v>3</v>
      </c>
      <c r="L152" t="str">
        <f>_xlfn.IFNA( INDEX(LaboratoriosID[ID], MATCH( INDEX(LaboratoriosMaterias[Laboratorio], MATCH(tDatosMaestros[[#This Row],[ASIGNATURA]],LaboratoriosMaterias[Materia],0)), LaboratoriosID[Laboratorio],0)), "")</f>
        <v/>
      </c>
      <c r="M152" t="str">
        <f>_xlfn.IFNA( INDEX(LaboratoriosID[ID], MATCH( INDEX(LaboratoriosMaterias[LaboratorioB], MATCH(tDatosMaestros[[#This Row],[ASIGNATURA]],LaboratoriosMaterias[Materia],0)), LaboratoriosID[Laboratorio],0)), "")</f>
        <v/>
      </c>
      <c r="N152">
        <v>0</v>
      </c>
      <c r="O152">
        <v>0</v>
      </c>
    </row>
    <row r="153" spans="1:15" x14ac:dyDescent="0.25">
      <c r="A153" s="1">
        <v>6783</v>
      </c>
      <c r="B153" s="24" t="str">
        <f>"Nombre maestro "&amp;tDatosMaestros[[#This Row],[NO_CONTROL]]</f>
        <v>Nombre maestro 6783</v>
      </c>
      <c r="C153" s="24" t="s">
        <v>45</v>
      </c>
      <c r="D153" s="1">
        <v>4</v>
      </c>
      <c r="E153" s="1" t="s">
        <v>17</v>
      </c>
      <c r="F153" t="s">
        <v>9</v>
      </c>
      <c r="G153" t="s">
        <v>10</v>
      </c>
      <c r="H153" t="s">
        <v>112</v>
      </c>
      <c r="K153">
        <f>IF(tDatosMaestros[[#This Row],[TIPO PROFESOR]]="HRS", 3,2)</f>
        <v>3</v>
      </c>
      <c r="L153" t="str">
        <f>_xlfn.IFNA( INDEX(LaboratoriosID[ID], MATCH( INDEX(LaboratoriosMaterias[Laboratorio], MATCH(tDatosMaestros[[#This Row],[ASIGNATURA]],LaboratoriosMaterias[Materia],0)), LaboratoriosID[Laboratorio],0)), "")</f>
        <v/>
      </c>
      <c r="M153" t="str">
        <f>_xlfn.IFNA( INDEX(LaboratoriosID[ID], MATCH( INDEX(LaboratoriosMaterias[LaboratorioB], MATCH(tDatosMaestros[[#This Row],[ASIGNATURA]],LaboratoriosMaterias[Materia],0)), LaboratoriosID[Laboratorio],0)), "")</f>
        <v/>
      </c>
      <c r="N153">
        <v>0</v>
      </c>
      <c r="O153">
        <v>0</v>
      </c>
    </row>
    <row r="154" spans="1:15" x14ac:dyDescent="0.25">
      <c r="A154" s="1">
        <v>6783</v>
      </c>
      <c r="B154" s="24" t="str">
        <f>"Nombre maestro "&amp;tDatosMaestros[[#This Row],[NO_CONTROL]]</f>
        <v>Nombre maestro 6783</v>
      </c>
      <c r="C154" s="24" t="s">
        <v>45</v>
      </c>
      <c r="D154" s="1">
        <v>4</v>
      </c>
      <c r="E154" s="1" t="s">
        <v>18</v>
      </c>
      <c r="F154" t="s">
        <v>9</v>
      </c>
      <c r="G154" t="s">
        <v>10</v>
      </c>
      <c r="H154" t="s">
        <v>112</v>
      </c>
      <c r="K154">
        <f>IF(tDatosMaestros[[#This Row],[TIPO PROFESOR]]="HRS", 3,2)</f>
        <v>3</v>
      </c>
      <c r="L154" t="str">
        <f>_xlfn.IFNA( INDEX(LaboratoriosID[ID], MATCH( INDEX(LaboratoriosMaterias[Laboratorio], MATCH(tDatosMaestros[[#This Row],[ASIGNATURA]],LaboratoriosMaterias[Materia],0)), LaboratoriosID[Laboratorio],0)), "")</f>
        <v/>
      </c>
      <c r="M154" t="str">
        <f>_xlfn.IFNA( INDEX(LaboratoriosID[ID], MATCH( INDEX(LaboratoriosMaterias[LaboratorioB], MATCH(tDatosMaestros[[#This Row],[ASIGNATURA]],LaboratoriosMaterias[Materia],0)), LaboratoriosID[Laboratorio],0)), "")</f>
        <v/>
      </c>
      <c r="N154">
        <v>0</v>
      </c>
      <c r="O154">
        <v>0</v>
      </c>
    </row>
    <row r="155" spans="1:15" x14ac:dyDescent="0.25">
      <c r="A155" s="1">
        <v>6783</v>
      </c>
      <c r="B155" s="24" t="str">
        <f>"Nombre maestro "&amp;tDatosMaestros[[#This Row],[NO_CONTROL]]</f>
        <v>Nombre maestro 6783</v>
      </c>
      <c r="C155" s="24" t="s">
        <v>45</v>
      </c>
      <c r="D155" s="1">
        <v>4</v>
      </c>
      <c r="E155" s="1" t="s">
        <v>43</v>
      </c>
      <c r="F155" t="s">
        <v>9</v>
      </c>
      <c r="G155" t="s">
        <v>10</v>
      </c>
      <c r="H155" t="s">
        <v>112</v>
      </c>
      <c r="K155">
        <f>IF(tDatosMaestros[[#This Row],[TIPO PROFESOR]]="HRS", 3,2)</f>
        <v>3</v>
      </c>
      <c r="L155" t="str">
        <f>_xlfn.IFNA( INDEX(LaboratoriosID[ID], MATCH( INDEX(LaboratoriosMaterias[Laboratorio], MATCH(tDatosMaestros[[#This Row],[ASIGNATURA]],LaboratoriosMaterias[Materia],0)), LaboratoriosID[Laboratorio],0)), "")</f>
        <v/>
      </c>
      <c r="M155" t="str">
        <f>_xlfn.IFNA( INDEX(LaboratoriosID[ID], MATCH( INDEX(LaboratoriosMaterias[LaboratorioB], MATCH(tDatosMaestros[[#This Row],[ASIGNATURA]],LaboratoriosMaterias[Materia],0)), LaboratoriosID[Laboratorio],0)), "")</f>
        <v/>
      </c>
      <c r="N155">
        <v>0</v>
      </c>
      <c r="O155">
        <v>0</v>
      </c>
    </row>
    <row r="156" spans="1:15" x14ac:dyDescent="0.25">
      <c r="A156" s="1">
        <v>6784</v>
      </c>
      <c r="B156" s="24" t="str">
        <f>"Nombre maestro "&amp;tDatosMaestros[[#This Row],[NO_CONTROL]]</f>
        <v>Nombre maestro 6784</v>
      </c>
      <c r="C156" s="24" t="s">
        <v>42</v>
      </c>
      <c r="D156" s="1">
        <v>5</v>
      </c>
      <c r="E156" s="1" t="s">
        <v>18</v>
      </c>
      <c r="F156" t="s">
        <v>9</v>
      </c>
      <c r="G156" t="s">
        <v>10</v>
      </c>
      <c r="H156" t="s">
        <v>110</v>
      </c>
      <c r="K156">
        <f>IF(tDatosMaestros[[#This Row],[TIPO PROFESOR]]="HRS", 3,2)</f>
        <v>3</v>
      </c>
      <c r="L156" t="str">
        <f>_xlfn.IFNA( INDEX(LaboratoriosID[ID], MATCH( INDEX(LaboratoriosMaterias[Laboratorio], MATCH(tDatosMaestros[[#This Row],[ASIGNATURA]],LaboratoriosMaterias[Materia],0)), LaboratoriosID[Laboratorio],0)), "")</f>
        <v/>
      </c>
      <c r="M156" t="str">
        <f>_xlfn.IFNA( INDEX(LaboratoriosID[ID], MATCH( INDEX(LaboratoriosMaterias[LaboratorioB], MATCH(tDatosMaestros[[#This Row],[ASIGNATURA]],LaboratoriosMaterias[Materia],0)), LaboratoriosID[Laboratorio],0)), "")</f>
        <v/>
      </c>
      <c r="N156">
        <v>0</v>
      </c>
      <c r="O156">
        <v>0</v>
      </c>
    </row>
    <row r="157" spans="1:15" x14ac:dyDescent="0.25">
      <c r="A157" s="1">
        <v>6784</v>
      </c>
      <c r="B157" s="24" t="str">
        <f>"Nombre maestro "&amp;tDatosMaestros[[#This Row],[NO_CONTROL]]</f>
        <v>Nombre maestro 6784</v>
      </c>
      <c r="C157" s="24" t="s">
        <v>42</v>
      </c>
      <c r="D157" s="1">
        <v>5</v>
      </c>
      <c r="E157" s="1" t="s">
        <v>43</v>
      </c>
      <c r="F157" t="s">
        <v>9</v>
      </c>
      <c r="G157" t="s">
        <v>10</v>
      </c>
      <c r="H157" t="s">
        <v>110</v>
      </c>
      <c r="K157">
        <f>IF(tDatosMaestros[[#This Row],[TIPO PROFESOR]]="HRS", 3,2)</f>
        <v>3</v>
      </c>
      <c r="L157" t="str">
        <f>_xlfn.IFNA( INDEX(LaboratoriosID[ID], MATCH( INDEX(LaboratoriosMaterias[Laboratorio], MATCH(tDatosMaestros[[#This Row],[ASIGNATURA]],LaboratoriosMaterias[Materia],0)), LaboratoriosID[Laboratorio],0)), "")</f>
        <v/>
      </c>
      <c r="M157" t="str">
        <f>_xlfn.IFNA( INDEX(LaboratoriosID[ID], MATCH( INDEX(LaboratoriosMaterias[LaboratorioB], MATCH(tDatosMaestros[[#This Row],[ASIGNATURA]],LaboratoriosMaterias[Materia],0)), LaboratoriosID[Laboratorio],0)), "")</f>
        <v/>
      </c>
      <c r="N157">
        <v>0</v>
      </c>
      <c r="O157">
        <v>0</v>
      </c>
    </row>
    <row r="158" spans="1:15" x14ac:dyDescent="0.25">
      <c r="A158" s="5">
        <v>7146</v>
      </c>
      <c r="B158" s="26" t="str">
        <f>"Nombre maestro "&amp;tDatosMaestros[[#This Row],[NO_CONTROL]]</f>
        <v>Nombre maestro 7146</v>
      </c>
      <c r="C158" s="26" t="s">
        <v>19</v>
      </c>
      <c r="D158" s="5">
        <v>4</v>
      </c>
      <c r="E158" s="5" t="s">
        <v>12</v>
      </c>
      <c r="F158" s="6" t="s">
        <v>9</v>
      </c>
      <c r="G158" s="6" t="s">
        <v>50</v>
      </c>
      <c r="H158" t="s">
        <v>102</v>
      </c>
      <c r="K158">
        <f>IF(tDatosMaestros[[#This Row],[TIPO PROFESOR]]="HRS", 3,2)</f>
        <v>2</v>
      </c>
      <c r="L158" t="str">
        <f>_xlfn.IFNA( INDEX(LaboratoriosID[ID], MATCH( INDEX(LaboratoriosMaterias[Laboratorio], MATCH(tDatosMaestros[[#This Row],[ASIGNATURA]],LaboratoriosMaterias[Materia],0)), LaboratoriosID[Laboratorio],0)), "")</f>
        <v/>
      </c>
      <c r="M158" t="str">
        <f>_xlfn.IFNA( INDEX(LaboratoriosID[ID], MATCH( INDEX(LaboratoriosMaterias[LaboratorioB], MATCH(tDatosMaestros[[#This Row],[ASIGNATURA]],LaboratoriosMaterias[Materia],0)), LaboratoriosID[Laboratorio],0)), "")</f>
        <v/>
      </c>
      <c r="N158">
        <v>0</v>
      </c>
      <c r="O158">
        <v>0</v>
      </c>
    </row>
    <row r="159" spans="1:15" x14ac:dyDescent="0.25">
      <c r="A159" s="1">
        <v>7457</v>
      </c>
      <c r="B159" s="24" t="str">
        <f>"Nombre maestro "&amp;tDatosMaestros[[#This Row],[NO_CONTROL]]</f>
        <v>Nombre maestro 7457</v>
      </c>
      <c r="C159" s="24" t="s">
        <v>55</v>
      </c>
      <c r="D159" s="1">
        <v>4</v>
      </c>
      <c r="E159" s="1" t="s">
        <v>29</v>
      </c>
      <c r="F159" t="s">
        <v>9</v>
      </c>
      <c r="G159" t="s">
        <v>10</v>
      </c>
      <c r="H159" t="s">
        <v>123</v>
      </c>
      <c r="K159">
        <f>IF(tDatosMaestros[[#This Row],[TIPO PROFESOR]]="HRS", 3,2)</f>
        <v>3</v>
      </c>
      <c r="L159" t="str">
        <f>_xlfn.IFNA( INDEX(LaboratoriosID[ID], MATCH( INDEX(LaboratoriosMaterias[Laboratorio], MATCH(tDatosMaestros[[#This Row],[ASIGNATURA]],LaboratoriosMaterias[Materia],0)), LaboratoriosID[Laboratorio],0)), "")</f>
        <v/>
      </c>
      <c r="M159" t="str">
        <f>_xlfn.IFNA( INDEX(LaboratoriosID[ID], MATCH( INDEX(LaboratoriosMaterias[LaboratorioB], MATCH(tDatosMaestros[[#This Row],[ASIGNATURA]],LaboratoriosMaterias[Materia],0)), LaboratoriosID[Laboratorio],0)), "")</f>
        <v/>
      </c>
      <c r="N159">
        <v>0</v>
      </c>
      <c r="O159">
        <v>0</v>
      </c>
    </row>
    <row r="160" spans="1:15" x14ac:dyDescent="0.25">
      <c r="A160" s="1">
        <v>7457</v>
      </c>
      <c r="B160" s="24" t="str">
        <f>"Nombre maestro "&amp;tDatosMaestros[[#This Row],[NO_CONTROL]]</f>
        <v>Nombre maestro 7457</v>
      </c>
      <c r="C160" s="24" t="s">
        <v>55</v>
      </c>
      <c r="D160" s="1">
        <v>4</v>
      </c>
      <c r="E160" s="1" t="s">
        <v>48</v>
      </c>
      <c r="F160" t="s">
        <v>9</v>
      </c>
      <c r="G160" t="s">
        <v>10</v>
      </c>
      <c r="H160" t="s">
        <v>123</v>
      </c>
      <c r="K160">
        <f>IF(tDatosMaestros[[#This Row],[TIPO PROFESOR]]="HRS", 3,2)</f>
        <v>3</v>
      </c>
      <c r="L160" t="str">
        <f>_xlfn.IFNA( INDEX(LaboratoriosID[ID], MATCH( INDEX(LaboratoriosMaterias[Laboratorio], MATCH(tDatosMaestros[[#This Row],[ASIGNATURA]],LaboratoriosMaterias[Materia],0)), LaboratoriosID[Laboratorio],0)), "")</f>
        <v/>
      </c>
      <c r="M160" t="str">
        <f>_xlfn.IFNA( INDEX(LaboratoriosID[ID], MATCH( INDEX(LaboratoriosMaterias[LaboratorioB], MATCH(tDatosMaestros[[#This Row],[ASIGNATURA]],LaboratoriosMaterias[Materia],0)), LaboratoriosID[Laboratorio],0)), "")</f>
        <v/>
      </c>
      <c r="N160">
        <v>0</v>
      </c>
      <c r="O160">
        <v>0</v>
      </c>
    </row>
    <row r="161" spans="1:15" x14ac:dyDescent="0.25">
      <c r="A161" s="1">
        <v>7542</v>
      </c>
      <c r="B161" s="24" t="str">
        <f>"Nombre maestro "&amp;tDatosMaestros[[#This Row],[NO_CONTROL]]</f>
        <v>Nombre maestro 7542</v>
      </c>
      <c r="C161" s="24" t="s">
        <v>19</v>
      </c>
      <c r="D161" s="1">
        <v>4</v>
      </c>
      <c r="E161" s="1" t="s">
        <v>30</v>
      </c>
      <c r="F161" t="s">
        <v>9</v>
      </c>
      <c r="G161" t="s">
        <v>10</v>
      </c>
      <c r="H161" t="s">
        <v>102</v>
      </c>
      <c r="K161">
        <f>IF(tDatosMaestros[[#This Row],[TIPO PROFESOR]]="HRS", 3,2)</f>
        <v>3</v>
      </c>
      <c r="L161" t="str">
        <f>_xlfn.IFNA( INDEX(LaboratoriosID[ID], MATCH( INDEX(LaboratoriosMaterias[Laboratorio], MATCH(tDatosMaestros[[#This Row],[ASIGNATURA]],LaboratoriosMaterias[Materia],0)), LaboratoriosID[Laboratorio],0)), "")</f>
        <v/>
      </c>
      <c r="M161" t="str">
        <f>_xlfn.IFNA( INDEX(LaboratoriosID[ID], MATCH( INDEX(LaboratoriosMaterias[LaboratorioB], MATCH(tDatosMaestros[[#This Row],[ASIGNATURA]],LaboratoriosMaterias[Materia],0)), LaboratoriosID[Laboratorio],0)), "")</f>
        <v/>
      </c>
      <c r="N161">
        <v>0</v>
      </c>
      <c r="O161">
        <v>0</v>
      </c>
    </row>
    <row r="162" spans="1:15" x14ac:dyDescent="0.25">
      <c r="A162" s="1">
        <v>7542</v>
      </c>
      <c r="B162" s="24" t="str">
        <f>"Nombre maestro "&amp;tDatosMaestros[[#This Row],[NO_CONTROL]]</f>
        <v>Nombre maestro 7542</v>
      </c>
      <c r="C162" s="24" t="s">
        <v>55</v>
      </c>
      <c r="D162" s="1">
        <v>4</v>
      </c>
      <c r="E162" s="1" t="s">
        <v>47</v>
      </c>
      <c r="F162" t="s">
        <v>9</v>
      </c>
      <c r="G162" t="s">
        <v>10</v>
      </c>
      <c r="H162" t="s">
        <v>123</v>
      </c>
      <c r="K162">
        <f>IF(tDatosMaestros[[#This Row],[TIPO PROFESOR]]="HRS", 3,2)</f>
        <v>3</v>
      </c>
      <c r="L162" t="str">
        <f>_xlfn.IFNA( INDEX(LaboratoriosID[ID], MATCH( INDEX(LaboratoriosMaterias[Laboratorio], MATCH(tDatosMaestros[[#This Row],[ASIGNATURA]],LaboratoriosMaterias[Materia],0)), LaboratoriosID[Laboratorio],0)), "")</f>
        <v/>
      </c>
      <c r="M162" t="str">
        <f>_xlfn.IFNA( INDEX(LaboratoriosID[ID], MATCH( INDEX(LaboratoriosMaterias[LaboratorioB], MATCH(tDatosMaestros[[#This Row],[ASIGNATURA]],LaboratoriosMaterias[Materia],0)), LaboratoriosID[Laboratorio],0)), "")</f>
        <v/>
      </c>
      <c r="N162">
        <v>0</v>
      </c>
      <c r="O162">
        <v>0</v>
      </c>
    </row>
    <row r="163" spans="1:15" x14ac:dyDescent="0.25">
      <c r="A163" s="1" t="s">
        <v>74</v>
      </c>
      <c r="B163" s="24" t="str">
        <f>"Nombre maestro "&amp;tDatosMaestros[[#This Row],[NO_CONTROL]]</f>
        <v>Nombre maestro LGRA</v>
      </c>
      <c r="C163" s="24" t="s">
        <v>19</v>
      </c>
      <c r="D163" s="1">
        <v>4</v>
      </c>
      <c r="E163" s="1" t="s">
        <v>18</v>
      </c>
      <c r="F163" t="s">
        <v>9</v>
      </c>
      <c r="G163" t="s">
        <v>10</v>
      </c>
      <c r="H163" t="s">
        <v>102</v>
      </c>
      <c r="K163">
        <f>IF(tDatosMaestros[[#This Row],[TIPO PROFESOR]]="HRS", 3,2)</f>
        <v>3</v>
      </c>
      <c r="L163" t="str">
        <f>_xlfn.IFNA( INDEX(LaboratoriosID[ID], MATCH( INDEX(LaboratoriosMaterias[Laboratorio], MATCH(tDatosMaestros[[#This Row],[ASIGNATURA]],LaboratoriosMaterias[Materia],0)), LaboratoriosID[Laboratorio],0)), "")</f>
        <v/>
      </c>
      <c r="M163" t="str">
        <f>_xlfn.IFNA( INDEX(LaboratoriosID[ID], MATCH( INDEX(LaboratoriosMaterias[LaboratorioB], MATCH(tDatosMaestros[[#This Row],[ASIGNATURA]],LaboratoriosMaterias[Materia],0)), LaboratoriosID[Laboratorio],0)), "")</f>
        <v/>
      </c>
      <c r="N163">
        <v>0</v>
      </c>
      <c r="O163">
        <v>0</v>
      </c>
    </row>
  </sheetData>
  <sortState ref="A2:H192">
    <sortCondition ref="G2:G192" customList="HRS,PTC,Coordinadora"/>
  </sortState>
  <conditionalFormatting sqref="N1:N1048576">
    <cfRule type="cellIs" dxfId="11" priority="1" operator="greaterThan">
      <formula>0</formula>
    </cfRule>
  </conditionalFormatting>
  <pageMargins left="0.7" right="0.7" top="0.75" bottom="0.75" header="0.3" footer="0.3"/>
  <pageSetup paperSize="212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31"/>
  <sheetViews>
    <sheetView workbookViewId="0">
      <selection activeCell="B9" sqref="B9"/>
    </sheetView>
  </sheetViews>
  <sheetFormatPr baseColWidth="10" defaultRowHeight="15" x14ac:dyDescent="0.25"/>
  <cols>
    <col min="1" max="1" width="47.85546875" bestFit="1" customWidth="1"/>
    <col min="2" max="2" width="18.5703125" bestFit="1" customWidth="1"/>
    <col min="3" max="3" width="15.42578125" bestFit="1" customWidth="1"/>
    <col min="4" max="4" width="14.5703125" bestFit="1" customWidth="1"/>
    <col min="7" max="7" width="15.42578125" bestFit="1" customWidth="1"/>
  </cols>
  <sheetData>
    <row r="1" spans="1:8" x14ac:dyDescent="0.25">
      <c r="A1" t="s">
        <v>142</v>
      </c>
      <c r="B1" t="s">
        <v>165</v>
      </c>
      <c r="C1" t="s">
        <v>141</v>
      </c>
      <c r="D1" t="s">
        <v>145</v>
      </c>
      <c r="G1" t="s">
        <v>141</v>
      </c>
      <c r="H1" t="s">
        <v>157</v>
      </c>
    </row>
    <row r="2" spans="1:8" x14ac:dyDescent="0.25">
      <c r="A2" t="s">
        <v>72</v>
      </c>
      <c r="B2">
        <v>2</v>
      </c>
      <c r="C2" t="s">
        <v>146</v>
      </c>
      <c r="G2" s="23" t="s">
        <v>147</v>
      </c>
      <c r="H2" t="s">
        <v>158</v>
      </c>
    </row>
    <row r="3" spans="1:8" x14ac:dyDescent="0.25">
      <c r="A3" t="s">
        <v>60</v>
      </c>
      <c r="B3">
        <v>2</v>
      </c>
      <c r="C3" t="s">
        <v>146</v>
      </c>
      <c r="G3" t="s">
        <v>149</v>
      </c>
      <c r="H3" t="s">
        <v>159</v>
      </c>
    </row>
    <row r="4" spans="1:8" x14ac:dyDescent="0.25">
      <c r="A4" t="s">
        <v>73</v>
      </c>
      <c r="B4">
        <v>2</v>
      </c>
      <c r="C4" t="s">
        <v>147</v>
      </c>
      <c r="G4" s="23" t="s">
        <v>154</v>
      </c>
      <c r="H4" t="s">
        <v>160</v>
      </c>
    </row>
    <row r="5" spans="1:8" x14ac:dyDescent="0.25">
      <c r="A5" s="24" t="s">
        <v>62</v>
      </c>
      <c r="B5">
        <v>2</v>
      </c>
      <c r="C5" t="s">
        <v>147</v>
      </c>
      <c r="G5" s="23" t="s">
        <v>143</v>
      </c>
      <c r="H5" t="s">
        <v>161</v>
      </c>
    </row>
    <row r="6" spans="1:8" x14ac:dyDescent="0.25">
      <c r="A6" t="s">
        <v>63</v>
      </c>
      <c r="B6">
        <v>2</v>
      </c>
      <c r="C6" t="s">
        <v>148</v>
      </c>
      <c r="G6" s="23" t="s">
        <v>146</v>
      </c>
      <c r="H6" t="s">
        <v>162</v>
      </c>
    </row>
    <row r="7" spans="1:8" x14ac:dyDescent="0.25">
      <c r="A7" t="s">
        <v>51</v>
      </c>
      <c r="B7">
        <v>2</v>
      </c>
      <c r="C7" t="s">
        <v>149</v>
      </c>
      <c r="G7" s="23" t="s">
        <v>148</v>
      </c>
      <c r="H7" t="s">
        <v>163</v>
      </c>
    </row>
    <row r="8" spans="1:8" x14ac:dyDescent="0.25">
      <c r="A8" t="s">
        <v>150</v>
      </c>
      <c r="B8">
        <v>2</v>
      </c>
      <c r="C8" t="s">
        <v>149</v>
      </c>
    </row>
    <row r="9" spans="1:8" x14ac:dyDescent="0.25">
      <c r="A9" t="s">
        <v>21</v>
      </c>
      <c r="B9">
        <v>2</v>
      </c>
      <c r="C9" t="s">
        <v>149</v>
      </c>
    </row>
    <row r="10" spans="1:8" x14ac:dyDescent="0.25">
      <c r="A10" t="s">
        <v>151</v>
      </c>
      <c r="B10">
        <v>2</v>
      </c>
      <c r="C10" t="s">
        <v>143</v>
      </c>
      <c r="D10" t="s">
        <v>146</v>
      </c>
    </row>
    <row r="11" spans="1:8" x14ac:dyDescent="0.25">
      <c r="A11" t="s">
        <v>70</v>
      </c>
      <c r="B11">
        <v>2</v>
      </c>
      <c r="C11" t="s">
        <v>146</v>
      </c>
      <c r="D11" t="s">
        <v>143</v>
      </c>
    </row>
    <row r="12" spans="1:8" x14ac:dyDescent="0.25">
      <c r="A12" t="s">
        <v>41</v>
      </c>
      <c r="B12">
        <v>2</v>
      </c>
      <c r="C12" t="s">
        <v>143</v>
      </c>
      <c r="D12" t="s">
        <v>146</v>
      </c>
    </row>
    <row r="13" spans="1:8" x14ac:dyDescent="0.25">
      <c r="A13" t="s">
        <v>40</v>
      </c>
      <c r="B13">
        <v>2</v>
      </c>
      <c r="C13" t="s">
        <v>143</v>
      </c>
      <c r="D13" t="s">
        <v>146</v>
      </c>
    </row>
    <row r="14" spans="1:8" x14ac:dyDescent="0.25">
      <c r="A14" t="s">
        <v>64</v>
      </c>
      <c r="B14">
        <v>2</v>
      </c>
      <c r="C14" t="s">
        <v>143</v>
      </c>
      <c r="D14" t="s">
        <v>146</v>
      </c>
    </row>
    <row r="15" spans="1:8" x14ac:dyDescent="0.25">
      <c r="A15" t="s">
        <v>39</v>
      </c>
      <c r="B15">
        <v>2</v>
      </c>
      <c r="C15" t="s">
        <v>143</v>
      </c>
      <c r="D15" t="s">
        <v>146</v>
      </c>
    </row>
    <row r="16" spans="1:8" x14ac:dyDescent="0.25">
      <c r="A16" t="s">
        <v>58</v>
      </c>
      <c r="B16">
        <v>2</v>
      </c>
      <c r="C16" t="s">
        <v>143</v>
      </c>
      <c r="D16" t="s">
        <v>146</v>
      </c>
    </row>
    <row r="17" spans="1:4" x14ac:dyDescent="0.25">
      <c r="A17" t="s">
        <v>152</v>
      </c>
      <c r="B17">
        <v>2</v>
      </c>
      <c r="C17" t="s">
        <v>143</v>
      </c>
      <c r="D17" t="s">
        <v>146</v>
      </c>
    </row>
    <row r="18" spans="1:4" x14ac:dyDescent="0.25">
      <c r="A18" t="s">
        <v>153</v>
      </c>
      <c r="B18">
        <v>2</v>
      </c>
      <c r="C18" t="s">
        <v>146</v>
      </c>
      <c r="D18" t="s">
        <v>143</v>
      </c>
    </row>
    <row r="19" spans="1:4" x14ac:dyDescent="0.25">
      <c r="A19" t="s">
        <v>59</v>
      </c>
      <c r="B19">
        <v>2</v>
      </c>
      <c r="C19" t="s">
        <v>146</v>
      </c>
      <c r="D19" t="s">
        <v>143</v>
      </c>
    </row>
    <row r="20" spans="1:4" x14ac:dyDescent="0.25">
      <c r="A20" t="s">
        <v>15</v>
      </c>
      <c r="B20">
        <v>2</v>
      </c>
      <c r="C20" t="s">
        <v>154</v>
      </c>
    </row>
    <row r="21" spans="1:4" x14ac:dyDescent="0.25">
      <c r="A21" t="s">
        <v>155</v>
      </c>
      <c r="B21">
        <v>2</v>
      </c>
      <c r="C21" t="s">
        <v>154</v>
      </c>
    </row>
    <row r="22" spans="1:4" x14ac:dyDescent="0.25">
      <c r="A22" t="s">
        <v>67</v>
      </c>
      <c r="B22">
        <v>2</v>
      </c>
      <c r="C22" t="s">
        <v>154</v>
      </c>
    </row>
    <row r="23" spans="1:4" x14ac:dyDescent="0.25">
      <c r="A23" t="s">
        <v>53</v>
      </c>
      <c r="B23">
        <v>2</v>
      </c>
      <c r="C23" t="s">
        <v>148</v>
      </c>
    </row>
    <row r="24" spans="1:4" x14ac:dyDescent="0.25">
      <c r="A24" t="s">
        <v>61</v>
      </c>
      <c r="B24">
        <v>2</v>
      </c>
      <c r="C24" t="s">
        <v>143</v>
      </c>
      <c r="D24" t="s">
        <v>146</v>
      </c>
    </row>
    <row r="25" spans="1:4" x14ac:dyDescent="0.25">
      <c r="A25" t="s">
        <v>71</v>
      </c>
      <c r="B25">
        <v>2</v>
      </c>
      <c r="C25" t="s">
        <v>146</v>
      </c>
    </row>
    <row r="26" spans="1:4" x14ac:dyDescent="0.25">
      <c r="A26" t="s">
        <v>121</v>
      </c>
      <c r="B26">
        <v>2</v>
      </c>
      <c r="C26" t="s">
        <v>143</v>
      </c>
    </row>
    <row r="27" spans="1:4" x14ac:dyDescent="0.25">
      <c r="A27" t="s">
        <v>144</v>
      </c>
      <c r="B27">
        <v>2</v>
      </c>
      <c r="C27" t="s">
        <v>143</v>
      </c>
    </row>
    <row r="28" spans="1:4" x14ac:dyDescent="0.25">
      <c r="A28" t="s">
        <v>117</v>
      </c>
      <c r="B28">
        <v>1</v>
      </c>
      <c r="C28" t="s">
        <v>148</v>
      </c>
    </row>
    <row r="29" spans="1:4" x14ac:dyDescent="0.25">
      <c r="A29" t="s">
        <v>156</v>
      </c>
      <c r="B29">
        <v>1</v>
      </c>
      <c r="C29" t="s">
        <v>148</v>
      </c>
    </row>
    <row r="30" spans="1:4" x14ac:dyDescent="0.25">
      <c r="A30" t="s">
        <v>54</v>
      </c>
      <c r="B30">
        <v>1</v>
      </c>
      <c r="C30" t="s">
        <v>148</v>
      </c>
    </row>
    <row r="31" spans="1:4" x14ac:dyDescent="0.25">
      <c r="A31" t="s">
        <v>56</v>
      </c>
      <c r="B31">
        <v>2</v>
      </c>
      <c r="C31" t="s">
        <v>143</v>
      </c>
      <c r="D31" t="s">
        <v>146</v>
      </c>
    </row>
  </sheetData>
  <pageMargins left="0.7" right="0.7" top="0.75" bottom="0.75" header="0.3" footer="0.3"/>
  <pageSetup paperSize="212" orientation="portrait" horizontalDpi="300" verticalDpi="3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32"/>
  <sheetViews>
    <sheetView zoomScaleNormal="100" workbookViewId="0">
      <selection activeCell="A3" sqref="A3"/>
    </sheetView>
  </sheetViews>
  <sheetFormatPr baseColWidth="10" defaultRowHeight="15" x14ac:dyDescent="0.25"/>
  <cols>
    <col min="1" max="1" width="34.7109375" bestFit="1" customWidth="1"/>
  </cols>
  <sheetData>
    <row r="1" spans="1:6" ht="22.5" x14ac:dyDescent="0.25">
      <c r="A1" t="s">
        <v>75</v>
      </c>
      <c r="B1" s="7"/>
      <c r="C1" s="7"/>
      <c r="D1" s="7"/>
      <c r="E1" s="7"/>
    </row>
    <row r="2" spans="1:6" ht="17.25" x14ac:dyDescent="0.25">
      <c r="A2" t="s">
        <v>76</v>
      </c>
      <c r="B2" s="8"/>
      <c r="C2" s="8"/>
      <c r="D2" s="8"/>
      <c r="E2" s="8"/>
    </row>
    <row r="3" spans="1:6" ht="15" customHeight="1" x14ac:dyDescent="0.25">
      <c r="A3" t="s">
        <v>91</v>
      </c>
      <c r="B3" s="9"/>
      <c r="C3" s="9"/>
      <c r="D3" s="9"/>
      <c r="E3" s="9"/>
    </row>
    <row r="5" spans="1:6" x14ac:dyDescent="0.25">
      <c r="A5" s="16" t="s">
        <v>77</v>
      </c>
      <c r="B5" s="10" t="s">
        <v>78</v>
      </c>
      <c r="C5" s="10" t="s">
        <v>79</v>
      </c>
      <c r="D5" s="10" t="s">
        <v>80</v>
      </c>
      <c r="E5" s="10" t="s">
        <v>81</v>
      </c>
      <c r="F5" s="20" t="s">
        <v>82</v>
      </c>
    </row>
    <row r="6" spans="1:6" x14ac:dyDescent="0.25">
      <c r="A6" s="17"/>
      <c r="B6" s="14"/>
      <c r="C6" s="14"/>
      <c r="D6" s="14"/>
      <c r="E6" s="14"/>
      <c r="F6" s="22"/>
    </row>
    <row r="7" spans="1:6" x14ac:dyDescent="0.25">
      <c r="A7" s="12" t="s">
        <v>95</v>
      </c>
      <c r="B7" s="15"/>
      <c r="C7" s="15"/>
      <c r="D7" s="15"/>
      <c r="E7" s="15"/>
      <c r="F7" s="18"/>
    </row>
    <row r="8" spans="1:6" x14ac:dyDescent="0.25">
      <c r="A8" s="13"/>
      <c r="B8" s="21"/>
      <c r="C8" s="21"/>
      <c r="D8" s="21"/>
      <c r="E8" s="21"/>
      <c r="F8" s="19"/>
    </row>
    <row r="9" spans="1:6" x14ac:dyDescent="0.25">
      <c r="A9" s="12"/>
      <c r="B9" s="15"/>
      <c r="C9" s="15"/>
      <c r="D9" s="15"/>
      <c r="E9" s="15"/>
      <c r="F9" s="18"/>
    </row>
    <row r="10" spans="1:6" x14ac:dyDescent="0.25">
      <c r="A10" s="12" t="s">
        <v>83</v>
      </c>
      <c r="B10" s="15"/>
      <c r="C10" s="15"/>
      <c r="D10" s="15"/>
      <c r="E10" s="15"/>
      <c r="F10" s="18"/>
    </row>
    <row r="11" spans="1:6" x14ac:dyDescent="0.25">
      <c r="A11" s="12"/>
      <c r="B11" s="15"/>
      <c r="C11" s="15"/>
      <c r="D11" s="15"/>
      <c r="E11" s="15"/>
      <c r="F11" s="18"/>
    </row>
    <row r="12" spans="1:6" x14ac:dyDescent="0.25">
      <c r="A12" s="11"/>
      <c r="B12" s="14"/>
      <c r="C12" s="14"/>
      <c r="D12" s="14"/>
      <c r="E12" s="14"/>
      <c r="F12" s="22"/>
    </row>
    <row r="13" spans="1:6" x14ac:dyDescent="0.25">
      <c r="A13" s="12" t="s">
        <v>84</v>
      </c>
      <c r="B13" s="15"/>
      <c r="C13" s="15"/>
      <c r="D13" s="15"/>
      <c r="E13" s="15"/>
      <c r="F13" s="18"/>
    </row>
    <row r="14" spans="1:6" x14ac:dyDescent="0.25">
      <c r="A14" s="13"/>
      <c r="B14" s="21"/>
      <c r="C14" s="21"/>
      <c r="D14" s="21"/>
      <c r="E14" s="21"/>
      <c r="F14" s="19"/>
    </row>
    <row r="15" spans="1:6" x14ac:dyDescent="0.25">
      <c r="A15" s="11"/>
      <c r="B15" s="14"/>
      <c r="C15" s="14"/>
      <c r="D15" s="14"/>
      <c r="E15" s="14"/>
      <c r="F15" s="22"/>
    </row>
    <row r="16" spans="1:6" x14ac:dyDescent="0.25">
      <c r="A16" s="12" t="s">
        <v>85</v>
      </c>
      <c r="B16" s="15"/>
      <c r="C16" s="15"/>
      <c r="D16" s="15"/>
      <c r="E16" s="15"/>
      <c r="F16" s="18"/>
    </row>
    <row r="17" spans="1:6" x14ac:dyDescent="0.25">
      <c r="A17" s="13"/>
      <c r="B17" s="21"/>
      <c r="C17" s="21"/>
      <c r="D17" s="21"/>
      <c r="E17" s="21"/>
      <c r="F17" s="19"/>
    </row>
    <row r="18" spans="1:6" x14ac:dyDescent="0.25">
      <c r="A18" s="11"/>
      <c r="B18" s="14"/>
      <c r="C18" s="14"/>
      <c r="D18" s="14"/>
      <c r="E18" s="14"/>
      <c r="F18" s="22"/>
    </row>
    <row r="19" spans="1:6" x14ac:dyDescent="0.25">
      <c r="A19" s="12" t="s">
        <v>86</v>
      </c>
      <c r="B19" s="15"/>
      <c r="C19" s="15"/>
      <c r="D19" s="15"/>
      <c r="E19" s="15"/>
      <c r="F19" s="18"/>
    </row>
    <row r="20" spans="1:6" x14ac:dyDescent="0.25">
      <c r="A20" s="13"/>
      <c r="B20" s="21"/>
      <c r="C20" s="21"/>
      <c r="D20" s="21"/>
      <c r="E20" s="21"/>
      <c r="F20" s="19"/>
    </row>
    <row r="21" spans="1:6" x14ac:dyDescent="0.25">
      <c r="A21" s="11"/>
      <c r="B21" s="14"/>
      <c r="C21" s="14"/>
      <c r="D21" s="14"/>
      <c r="E21" s="14"/>
      <c r="F21" s="22"/>
    </row>
    <row r="22" spans="1:6" x14ac:dyDescent="0.25">
      <c r="A22" s="12" t="s">
        <v>87</v>
      </c>
      <c r="B22" s="15"/>
      <c r="C22" s="15"/>
      <c r="D22" s="15"/>
      <c r="E22" s="15"/>
      <c r="F22" s="18"/>
    </row>
    <row r="23" spans="1:6" x14ac:dyDescent="0.25">
      <c r="A23" s="13"/>
      <c r="B23" s="21"/>
      <c r="C23" s="21"/>
      <c r="D23" s="21"/>
      <c r="E23" s="21"/>
      <c r="F23" s="19"/>
    </row>
    <row r="24" spans="1:6" x14ac:dyDescent="0.25">
      <c r="A24" s="11"/>
      <c r="B24" s="14"/>
      <c r="C24" s="14"/>
      <c r="D24" s="14"/>
      <c r="E24" s="14"/>
      <c r="F24" s="22"/>
    </row>
    <row r="25" spans="1:6" x14ac:dyDescent="0.25">
      <c r="A25" s="12" t="s">
        <v>88</v>
      </c>
      <c r="B25" s="15"/>
      <c r="C25" s="15"/>
      <c r="D25" s="15"/>
      <c r="E25" s="15"/>
      <c r="F25" s="18"/>
    </row>
    <row r="26" spans="1:6" x14ac:dyDescent="0.25">
      <c r="A26" s="13"/>
      <c r="B26" s="21"/>
      <c r="C26" s="21"/>
      <c r="D26" s="21"/>
      <c r="E26" s="21"/>
      <c r="F26" s="19"/>
    </row>
    <row r="27" spans="1:6" x14ac:dyDescent="0.25">
      <c r="A27" s="11"/>
      <c r="B27" s="14"/>
      <c r="C27" s="14"/>
      <c r="D27" s="14"/>
      <c r="E27" s="14"/>
      <c r="F27" s="22"/>
    </row>
    <row r="28" spans="1:6" x14ac:dyDescent="0.25">
      <c r="A28" s="12" t="s">
        <v>89</v>
      </c>
      <c r="B28" s="15"/>
      <c r="C28" s="15"/>
      <c r="D28" s="15"/>
      <c r="E28" s="15"/>
      <c r="F28" s="18"/>
    </row>
    <row r="29" spans="1:6" x14ac:dyDescent="0.25">
      <c r="A29" s="13"/>
      <c r="B29" s="21"/>
      <c r="C29" s="21"/>
      <c r="D29" s="21"/>
      <c r="E29" s="21"/>
      <c r="F29" s="19"/>
    </row>
    <row r="30" spans="1:6" x14ac:dyDescent="0.25">
      <c r="A30" s="12"/>
      <c r="B30" s="15"/>
      <c r="C30" s="15"/>
      <c r="D30" s="15"/>
      <c r="E30" s="15"/>
      <c r="F30" s="18"/>
    </row>
    <row r="31" spans="1:6" x14ac:dyDescent="0.25">
      <c r="A31" s="12" t="s">
        <v>90</v>
      </c>
      <c r="B31" s="15"/>
      <c r="C31" s="15"/>
      <c r="D31" s="15"/>
      <c r="E31" s="15"/>
      <c r="F31" s="18"/>
    </row>
    <row r="32" spans="1:6" x14ac:dyDescent="0.25">
      <c r="A32" s="13"/>
      <c r="B32" s="21"/>
      <c r="C32" s="21"/>
      <c r="D32" s="21"/>
      <c r="E32" s="21"/>
      <c r="F32" s="19"/>
    </row>
  </sheetData>
  <pageMargins left="0.7" right="0.7" top="0.75" bottom="0.75" header="0.3" footer="0.3"/>
  <pageSetup paperSize="19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32"/>
  <sheetViews>
    <sheetView zoomScaleNormal="100" workbookViewId="0">
      <selection activeCell="B21" sqref="B21"/>
    </sheetView>
  </sheetViews>
  <sheetFormatPr baseColWidth="10" defaultRowHeight="15" x14ac:dyDescent="0.25"/>
  <cols>
    <col min="1" max="1" width="34.7109375" bestFit="1" customWidth="1"/>
  </cols>
  <sheetData>
    <row r="1" spans="1:6" ht="22.5" x14ac:dyDescent="0.25">
      <c r="A1" t="s">
        <v>75</v>
      </c>
      <c r="B1" s="7"/>
      <c r="C1" s="7"/>
      <c r="D1" s="7"/>
      <c r="E1" s="7"/>
    </row>
    <row r="2" spans="1:6" ht="17.25" x14ac:dyDescent="0.25">
      <c r="A2" t="s">
        <v>76</v>
      </c>
      <c r="B2" s="8"/>
      <c r="C2" s="8"/>
      <c r="D2" s="8"/>
      <c r="E2" s="8"/>
    </row>
    <row r="3" spans="1:6" ht="15" customHeight="1" x14ac:dyDescent="0.25">
      <c r="A3" t="s">
        <v>91</v>
      </c>
      <c r="B3" s="9"/>
      <c r="C3" s="9"/>
      <c r="D3" s="9"/>
      <c r="E3" s="9"/>
    </row>
    <row r="5" spans="1:6" x14ac:dyDescent="0.25">
      <c r="A5" s="16" t="s">
        <v>77</v>
      </c>
      <c r="B5" s="10" t="s">
        <v>78</v>
      </c>
      <c r="C5" s="10" t="s">
        <v>79</v>
      </c>
      <c r="D5" s="10" t="s">
        <v>80</v>
      </c>
      <c r="E5" s="10" t="s">
        <v>81</v>
      </c>
      <c r="F5" s="20" t="s">
        <v>82</v>
      </c>
    </row>
    <row r="6" spans="1:6" x14ac:dyDescent="0.25">
      <c r="A6" s="17"/>
      <c r="B6" s="14"/>
      <c r="C6" s="14"/>
      <c r="D6" s="14"/>
      <c r="E6" s="14"/>
      <c r="F6" s="22"/>
    </row>
    <row r="7" spans="1:6" x14ac:dyDescent="0.25">
      <c r="A7" s="12" t="s">
        <v>95</v>
      </c>
      <c r="B7" s="15" t="s">
        <v>97</v>
      </c>
      <c r="C7" s="15" t="s">
        <v>97</v>
      </c>
      <c r="D7" s="15" t="s">
        <v>97</v>
      </c>
      <c r="E7" s="15" t="s">
        <v>97</v>
      </c>
      <c r="F7" s="18" t="s">
        <v>97</v>
      </c>
    </row>
    <row r="8" spans="1:6" x14ac:dyDescent="0.25">
      <c r="A8" s="13"/>
      <c r="B8" s="21"/>
      <c r="C8" s="21"/>
      <c r="D8" s="21"/>
      <c r="E8" s="21"/>
      <c r="F8" s="19"/>
    </row>
    <row r="9" spans="1:6" x14ac:dyDescent="0.25">
      <c r="A9" s="12"/>
      <c r="B9" s="15"/>
      <c r="C9" s="15"/>
      <c r="D9" s="15"/>
      <c r="E9" s="15"/>
      <c r="F9" s="18"/>
    </row>
    <row r="10" spans="1:6" x14ac:dyDescent="0.25">
      <c r="A10" s="12" t="s">
        <v>83</v>
      </c>
      <c r="B10" s="15" t="s">
        <v>97</v>
      </c>
      <c r="C10" s="15" t="s">
        <v>97</v>
      </c>
      <c r="D10" s="15" t="s">
        <v>97</v>
      </c>
      <c r="E10" s="15" t="s">
        <v>97</v>
      </c>
      <c r="F10" s="18" t="s">
        <v>97</v>
      </c>
    </row>
    <row r="11" spans="1:6" x14ac:dyDescent="0.25">
      <c r="A11" s="12"/>
      <c r="B11" s="15"/>
      <c r="C11" s="15"/>
      <c r="D11" s="15"/>
      <c r="E11" s="15"/>
      <c r="F11" s="18"/>
    </row>
    <row r="12" spans="1:6" x14ac:dyDescent="0.25">
      <c r="A12" s="11"/>
      <c r="B12" s="14"/>
      <c r="C12" s="14"/>
      <c r="D12" s="14"/>
      <c r="E12" s="14"/>
      <c r="F12" s="22"/>
    </row>
    <row r="13" spans="1:6" x14ac:dyDescent="0.25">
      <c r="A13" s="12" t="s">
        <v>84</v>
      </c>
      <c r="B13" s="15" t="s">
        <v>97</v>
      </c>
      <c r="C13" s="15" t="s">
        <v>97</v>
      </c>
      <c r="D13" s="15" t="s">
        <v>97</v>
      </c>
      <c r="E13" s="15" t="s">
        <v>97</v>
      </c>
      <c r="F13" s="18" t="s">
        <v>97</v>
      </c>
    </row>
    <row r="14" spans="1:6" x14ac:dyDescent="0.25">
      <c r="A14" s="13"/>
      <c r="B14" s="21"/>
      <c r="C14" s="21"/>
      <c r="D14" s="21"/>
      <c r="E14" s="21"/>
      <c r="F14" s="19"/>
    </row>
    <row r="15" spans="1:6" x14ac:dyDescent="0.25">
      <c r="A15" s="11"/>
      <c r="B15" s="14"/>
      <c r="C15" s="14"/>
      <c r="D15" s="14"/>
      <c r="E15" s="14"/>
      <c r="F15" s="22"/>
    </row>
    <row r="16" spans="1:6" x14ac:dyDescent="0.25">
      <c r="A16" s="12" t="s">
        <v>85</v>
      </c>
      <c r="B16" s="15" t="s">
        <v>97</v>
      </c>
      <c r="C16" s="15" t="s">
        <v>97</v>
      </c>
      <c r="D16" s="15" t="s">
        <v>97</v>
      </c>
      <c r="E16" s="15" t="s">
        <v>97</v>
      </c>
      <c r="F16" s="18" t="s">
        <v>97</v>
      </c>
    </row>
    <row r="17" spans="1:6" x14ac:dyDescent="0.25">
      <c r="A17" s="13"/>
      <c r="B17" s="21"/>
      <c r="C17" s="21"/>
      <c r="D17" s="21"/>
      <c r="E17" s="21"/>
      <c r="F17" s="19"/>
    </row>
    <row r="18" spans="1:6" x14ac:dyDescent="0.25">
      <c r="A18" s="11"/>
      <c r="B18" s="14"/>
      <c r="C18" s="14"/>
      <c r="D18" s="14"/>
      <c r="E18" s="14"/>
      <c r="F18" s="22"/>
    </row>
    <row r="19" spans="1:6" x14ac:dyDescent="0.25">
      <c r="A19" s="12" t="s">
        <v>86</v>
      </c>
      <c r="B19" s="15"/>
      <c r="C19" s="15"/>
      <c r="D19" s="15"/>
      <c r="E19" s="15"/>
      <c r="F19" s="18"/>
    </row>
    <row r="20" spans="1:6" x14ac:dyDescent="0.25">
      <c r="A20" s="13"/>
      <c r="B20" s="21"/>
      <c r="C20" s="21"/>
      <c r="D20" s="21"/>
      <c r="E20" s="21"/>
      <c r="F20" s="19"/>
    </row>
    <row r="21" spans="1:6" x14ac:dyDescent="0.25">
      <c r="A21" s="11"/>
      <c r="B21" s="14"/>
      <c r="C21" s="14"/>
      <c r="D21" s="14"/>
      <c r="E21" s="14"/>
      <c r="F21" s="22"/>
    </row>
    <row r="22" spans="1:6" x14ac:dyDescent="0.25">
      <c r="A22" s="12" t="s">
        <v>87</v>
      </c>
      <c r="B22" s="15"/>
      <c r="C22" s="15"/>
      <c r="D22" s="15"/>
      <c r="E22" s="15"/>
      <c r="F22" s="18"/>
    </row>
    <row r="23" spans="1:6" x14ac:dyDescent="0.25">
      <c r="A23" s="13"/>
      <c r="B23" s="21"/>
      <c r="C23" s="21"/>
      <c r="D23" s="21"/>
      <c r="E23" s="21"/>
      <c r="F23" s="19"/>
    </row>
    <row r="24" spans="1:6" x14ac:dyDescent="0.25">
      <c r="A24" s="11"/>
      <c r="B24" s="14"/>
      <c r="C24" s="14"/>
      <c r="D24" s="14"/>
      <c r="E24" s="14"/>
      <c r="F24" s="22"/>
    </row>
    <row r="25" spans="1:6" x14ac:dyDescent="0.25">
      <c r="A25" s="12" t="s">
        <v>88</v>
      </c>
      <c r="B25" s="15"/>
      <c r="C25" s="15"/>
      <c r="D25" s="15"/>
      <c r="E25" s="15"/>
      <c r="F25" s="18"/>
    </row>
    <row r="26" spans="1:6" x14ac:dyDescent="0.25">
      <c r="A26" s="13"/>
      <c r="B26" s="21"/>
      <c r="C26" s="21"/>
      <c r="D26" s="21"/>
      <c r="E26" s="21"/>
      <c r="F26" s="19"/>
    </row>
    <row r="27" spans="1:6" x14ac:dyDescent="0.25">
      <c r="A27" s="11"/>
      <c r="B27" s="14"/>
      <c r="C27" s="14"/>
      <c r="D27" s="14"/>
      <c r="E27" s="14"/>
      <c r="F27" s="22"/>
    </row>
    <row r="28" spans="1:6" x14ac:dyDescent="0.25">
      <c r="A28" s="12" t="s">
        <v>89</v>
      </c>
      <c r="B28" s="15"/>
      <c r="C28" s="15"/>
      <c r="D28" s="15"/>
      <c r="E28" s="15"/>
      <c r="F28" s="18"/>
    </row>
    <row r="29" spans="1:6" x14ac:dyDescent="0.25">
      <c r="A29" s="13"/>
      <c r="B29" s="21"/>
      <c r="C29" s="21"/>
      <c r="D29" s="21"/>
      <c r="E29" s="21"/>
      <c r="F29" s="19"/>
    </row>
    <row r="30" spans="1:6" x14ac:dyDescent="0.25">
      <c r="A30" s="12"/>
      <c r="B30" s="15"/>
      <c r="C30" s="15"/>
      <c r="D30" s="15"/>
      <c r="E30" s="15"/>
      <c r="F30" s="18"/>
    </row>
    <row r="31" spans="1:6" x14ac:dyDescent="0.25">
      <c r="A31" s="12" t="s">
        <v>90</v>
      </c>
      <c r="B31" s="15"/>
      <c r="C31" s="15"/>
      <c r="D31" s="15"/>
      <c r="E31" s="15"/>
      <c r="F31" s="18"/>
    </row>
    <row r="32" spans="1:6" x14ac:dyDescent="0.25">
      <c r="A32" s="13"/>
      <c r="B32" s="21"/>
      <c r="C32" s="21"/>
      <c r="D32" s="21"/>
      <c r="E32" s="21"/>
      <c r="F32" s="19"/>
    </row>
  </sheetData>
  <pageMargins left="0.7" right="0.7" top="0.75" bottom="0.75" header="0.3" footer="0.3"/>
  <pageSetup paperSize="19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Maestros</vt:lpstr>
      <vt:lpstr>Laboratorio</vt:lpstr>
      <vt:lpstr>Plantilla_Horario</vt:lpstr>
      <vt:lpstr>M_3010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2013-08-30T16:26:02Z</dcterms:created>
  <dcterms:modified xsi:type="dcterms:W3CDTF">2014-01-03T05:56:42Z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ProgramarHorarios_1" visible="true" label="ProgramarHorarios" imageMso="ListMacros" onAction="ProgramarHorarios"/>
      </mso:documentControls>
    </mso:qat>
  </mso:ribbon>
</mso:customUI>
</file>