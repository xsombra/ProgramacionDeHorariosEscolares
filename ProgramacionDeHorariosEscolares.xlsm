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Horario" sheetId="2" r:id="rId3"/>
    <sheet name="M_3010" sheetId="4" r:id="rId4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3" i="1"/>
  <c r="L24" i="1"/>
  <c r="L2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3" i="1"/>
  <c r="M24" i="1"/>
  <c r="M2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11" i="1"/>
  <c r="K12" i="1"/>
  <c r="K13" i="1"/>
  <c r="K14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5" i="1"/>
  <c r="K161" i="1"/>
  <c r="K162" i="1"/>
  <c r="K19" i="1"/>
  <c r="K20" i="1"/>
  <c r="K21" i="1"/>
  <c r="K22" i="1"/>
  <c r="K23" i="1"/>
  <c r="K3" i="1"/>
  <c r="K24" i="1"/>
  <c r="K2" i="1"/>
  <c r="K74" i="1"/>
  <c r="K75" i="1"/>
  <c r="K76" i="1"/>
  <c r="K77" i="1"/>
  <c r="K78" i="1"/>
  <c r="K79" i="1"/>
  <c r="K80" i="1"/>
  <c r="K81" i="1"/>
  <c r="K82" i="1"/>
  <c r="K83" i="1"/>
  <c r="K25" i="1"/>
  <c r="K8" i="1"/>
  <c r="K9" i="1"/>
  <c r="K10" i="1"/>
  <c r="K26" i="1"/>
  <c r="K27" i="1"/>
  <c r="K50" i="1"/>
  <c r="K73" i="1"/>
  <c r="K124" i="1"/>
  <c r="K125" i="1"/>
  <c r="K126" i="1"/>
  <c r="K55" i="1"/>
  <c r="K16" i="1"/>
  <c r="K17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8" i="1"/>
  <c r="K4" i="1"/>
  <c r="K5" i="1"/>
  <c r="K6" i="1"/>
  <c r="K7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<sst xmlns="http://schemas.openxmlformats.org/spreadsheetml/2006/main" count="972" uniqueCount="174">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</sst>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6"/>
      <name val="Arial Unicode MS"/>
      <family val="2"/>
    </font>
    <font>
      <b/>
      <sz val="12"/>
      <name val="Arial Unicode MS"/>
      <family val="2"/>
    </font>
    <font>
      <b/>
      <sz val="16"/>
      <name val="Arial Unicode MS"/>
      <family val="2"/>
    </font>
    <font>
      <b/>
      <sz val="9"/>
      <name val="Arial Unicode MS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9" fillId="0" borderId="14" applyNumberFormat="0" applyFill="0" applyAlignment="0" applyProtection="0"/>
    <xf numFmtId="0" fontId="6" fillId="8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5" fillId="5" borderId="9" xfId="1" applyFont="1" applyFill="1" applyBorder="1" applyAlignment="1">
      <alignment horizontal="center" vertical="center"/>
    </xf>
    <xf numFmtId="0" fontId="0" fillId="0" borderId="5" xfId="0" applyBorder="1"/>
    <xf numFmtId="0" fontId="5" fillId="5" borderId="12" xfId="1" applyFont="1" applyFill="1" applyBorder="1" applyAlignment="1">
      <alignment horizontal="center" vertical="center"/>
    </xf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7" borderId="0" xfId="0" applyFill="1"/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6" fillId="8" borderId="16" xfId="5" applyBorder="1" applyAlignment="1">
      <alignment horizontal="center" vertical="center"/>
    </xf>
    <xf numFmtId="0" fontId="6" fillId="8" borderId="17" xfId="5" applyBorder="1" applyAlignment="1">
      <alignment horizontal="center" vertical="center"/>
    </xf>
    <xf numFmtId="0" fontId="6" fillId="8" borderId="18" xfId="5" applyBorder="1" applyAlignment="1">
      <alignment horizontal="center" vertical="center"/>
    </xf>
    <xf numFmtId="0" fontId="6" fillId="8" borderId="19" xfId="5" applyBorder="1"/>
    <xf numFmtId="0" fontId="6" fillId="8" borderId="21" xfId="5" applyBorder="1" applyAlignment="1">
      <alignment horizontal="center" vertical="center"/>
    </xf>
    <xf numFmtId="0" fontId="6" fillId="8" borderId="23" xfId="5" applyBorder="1" applyAlignment="1">
      <alignment horizontal="center" vertical="center"/>
    </xf>
    <xf numFmtId="0" fontId="6" fillId="8" borderId="19" xfId="5" applyBorder="1" applyAlignment="1">
      <alignment horizontal="center" vertical="center"/>
    </xf>
    <xf numFmtId="0" fontId="6" fillId="8" borderId="25" xfId="5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7" fillId="0" borderId="0" xfId="2" applyAlignment="1">
      <alignment horizontal="left" vertical="center"/>
    </xf>
    <xf numFmtId="0" fontId="8" fillId="0" borderId="13" xfId="3" applyAlignment="1">
      <alignment horizontal="left" vertical="center"/>
    </xf>
    <xf numFmtId="0" fontId="9" fillId="0" borderId="15" xfId="4" applyBorder="1" applyAlignment="1">
      <alignment horizontal="left" vertical="center"/>
    </xf>
  </cellXfs>
  <cellStyles count="6">
    <cellStyle name="20% - Énfasis1" xfId="5" builtinId="30"/>
    <cellStyle name="Normal" xfId="0" builtinId="0"/>
    <cellStyle name="Normal 2" xfId="1"/>
    <cellStyle name="Título" xfId="2" builtinId="15"/>
    <cellStyle name="Título 1" xfId="3" builtinId="16"/>
    <cellStyle name="Título 2" xfId="4" builtinId="17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2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2" activePane="bottomLeft" state="frozen"/>
      <selection pane="bottomLeft" activeCell="B15" sqref="B15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6" width="15.42578125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1">
        <v>4179</v>
      </c>
      <c r="B2" s="18" t="str">
        <f>"Nombre maestro "&amp;tDatosMaestros[[#This Row],[NO_CONTROL]]</f>
        <v>Nombre maestro 4179</v>
      </c>
      <c r="C2" s="18" t="s">
        <v>56</v>
      </c>
      <c r="D2" s="1">
        <v>4</v>
      </c>
      <c r="E2" s="1" t="s">
        <v>26</v>
      </c>
      <c r="F2" t="s">
        <v>9</v>
      </c>
      <c r="G2" t="s">
        <v>10</v>
      </c>
      <c r="H2" t="s">
        <v>124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>MS</v>
      </c>
      <c r="N2">
        <v>0</v>
      </c>
      <c r="O2">
        <v>11</v>
      </c>
    </row>
    <row r="3" spans="1:15" x14ac:dyDescent="0.25">
      <c r="A3" s="1">
        <v>4179</v>
      </c>
      <c r="B3" s="18" t="str">
        <f>"Nombre maestro "&amp;tDatosMaestros[[#This Row],[NO_CONTROL]]</f>
        <v>Nombre maestro 4179</v>
      </c>
      <c r="C3" s="18" t="s">
        <v>121</v>
      </c>
      <c r="D3" s="1">
        <v>4</v>
      </c>
      <c r="E3" s="1" t="s">
        <v>43</v>
      </c>
      <c r="F3" t="s">
        <v>9</v>
      </c>
      <c r="G3" t="s">
        <v>10</v>
      </c>
      <c r="H3" t="s">
        <v>122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/>
      </c>
      <c r="N3">
        <v>0</v>
      </c>
      <c r="O3">
        <v>11</v>
      </c>
    </row>
    <row r="4" spans="1:15" x14ac:dyDescent="0.25">
      <c r="A4" s="24">
        <v>3010</v>
      </c>
      <c r="B4" s="25" t="str">
        <f>"Nombre maestro "&amp;tDatosMaestros[[#This Row],[NO_CONTROL]]</f>
        <v>Nombre maestro 3010</v>
      </c>
      <c r="C4" s="25" t="s">
        <v>70</v>
      </c>
      <c r="D4" s="24">
        <v>5</v>
      </c>
      <c r="E4" s="24" t="s">
        <v>24</v>
      </c>
      <c r="F4" s="26" t="s">
        <v>9</v>
      </c>
      <c r="G4" s="26" t="s">
        <v>10</v>
      </c>
      <c r="H4" s="26" t="s">
        <v>137</v>
      </c>
      <c r="I4" s="26">
        <v>3</v>
      </c>
      <c r="J4" s="2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>MN</v>
      </c>
      <c r="N4">
        <v>0</v>
      </c>
      <c r="O4">
        <v>10</v>
      </c>
    </row>
    <row r="5" spans="1:15" x14ac:dyDescent="0.25">
      <c r="A5" s="24">
        <v>3010</v>
      </c>
      <c r="B5" s="25" t="str">
        <f>"Nombre maestro "&amp;tDatosMaestros[[#This Row],[NO_CONTROL]]</f>
        <v>Nombre maestro 3010</v>
      </c>
      <c r="C5" s="25" t="s">
        <v>70</v>
      </c>
      <c r="D5" s="24">
        <v>5</v>
      </c>
      <c r="E5" s="24" t="s">
        <v>26</v>
      </c>
      <c r="F5" s="26" t="s">
        <v>9</v>
      </c>
      <c r="G5" s="26" t="s">
        <v>10</v>
      </c>
      <c r="H5" s="26" t="s">
        <v>137</v>
      </c>
      <c r="I5" s="26">
        <v>3</v>
      </c>
      <c r="J5" s="2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10</v>
      </c>
    </row>
    <row r="6" spans="1:15" x14ac:dyDescent="0.25">
      <c r="A6" s="24">
        <v>3010</v>
      </c>
      <c r="B6" s="25" t="str">
        <f>"Nombre maestro "&amp;tDatosMaestros[[#This Row],[NO_CONTROL]]</f>
        <v>Nombre maestro 3010</v>
      </c>
      <c r="C6" s="25" t="s">
        <v>71</v>
      </c>
      <c r="D6" s="24">
        <v>4</v>
      </c>
      <c r="E6" s="24" t="s">
        <v>25</v>
      </c>
      <c r="F6" s="26" t="s">
        <v>9</v>
      </c>
      <c r="G6" s="26" t="s">
        <v>10</v>
      </c>
      <c r="H6" s="26" t="s">
        <v>138</v>
      </c>
      <c r="I6" s="26">
        <v>2</v>
      </c>
      <c r="J6" s="26">
        <v>2</v>
      </c>
      <c r="K6" s="3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MS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10</v>
      </c>
    </row>
    <row r="7" spans="1:15" x14ac:dyDescent="0.25">
      <c r="A7" s="24">
        <v>3010</v>
      </c>
      <c r="B7" s="25" t="str">
        <f>"Nombre maestro "&amp;tDatosMaestros[[#This Row],[NO_CONTROL]]</f>
        <v>Nombre maestro 3010</v>
      </c>
      <c r="C7" s="25" t="s">
        <v>72</v>
      </c>
      <c r="D7" s="24">
        <v>4</v>
      </c>
      <c r="E7" s="24" t="s">
        <v>25</v>
      </c>
      <c r="F7" s="26" t="s">
        <v>9</v>
      </c>
      <c r="G7" s="26" t="s">
        <v>10</v>
      </c>
      <c r="H7" s="26" t="s">
        <v>139</v>
      </c>
      <c r="I7" s="26">
        <v>2</v>
      </c>
      <c r="J7" s="26">
        <v>2</v>
      </c>
      <c r="K7" s="3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MS</v>
      </c>
      <c r="M7" t="str">
        <f>IFERROR(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19" t="str">
        <f>"Nombre maestro "&amp;tDatosMaestros[[#This Row],[NO_CONTROL]]</f>
        <v>Nombre maestro 5707</v>
      </c>
      <c r="C8" s="19" t="s">
        <v>59</v>
      </c>
      <c r="D8" s="2">
        <v>5</v>
      </c>
      <c r="E8" s="2" t="s">
        <v>25</v>
      </c>
      <c r="F8" s="3" t="s">
        <v>9</v>
      </c>
      <c r="G8" s="3" t="s">
        <v>23</v>
      </c>
      <c r="H8" t="s">
        <v>127</v>
      </c>
      <c r="I8">
        <v>3</v>
      </c>
      <c r="J8">
        <v>2</v>
      </c>
      <c r="K8">
        <f>IF(tDatosMaestros[[#This Row],[TIPO PROFESOR]]="HRS", 3,2)</f>
        <v>2</v>
      </c>
      <c r="L8" t="str">
        <f>IFERROR( INDEX(LaboratoriosID[ID], MATCH( INDEX(LaboratoriosMaterias[Laboratorio], MATCH(tDatosMaestros[[#This Row],[ASIGNATURA]],LaboratoriosMaterias[Materia],0)), LaboratoriosID[Laboratorio],0)), "")</f>
        <v>MS</v>
      </c>
      <c r="M8" t="str">
        <f>IFERROR( INDEX(LaboratoriosID[ID], MATCH( INDEX(LaboratoriosMaterias[LaboratorioB], MATCH(tDatosMaestros[[#This Row],[ASIGNATURA]],LaboratoriosMaterias[Materia],0)), LaboratoriosID[Laboratorio],0)), "")</f>
        <v>MN</v>
      </c>
      <c r="N8">
        <v>0</v>
      </c>
      <c r="O8">
        <v>10</v>
      </c>
    </row>
    <row r="9" spans="1:15" x14ac:dyDescent="0.25">
      <c r="A9" s="2">
        <v>5707</v>
      </c>
      <c r="B9" s="19" t="str">
        <f>"Nombre maestro "&amp;tDatosMaestros[[#This Row],[NO_CONTROL]]</f>
        <v>Nombre maestro 5707</v>
      </c>
      <c r="C9" s="19" t="s">
        <v>60</v>
      </c>
      <c r="D9" s="2">
        <v>5</v>
      </c>
      <c r="E9" s="2" t="s">
        <v>24</v>
      </c>
      <c r="F9" s="3" t="s">
        <v>9</v>
      </c>
      <c r="G9" s="3" t="s">
        <v>23</v>
      </c>
      <c r="H9" t="s">
        <v>128</v>
      </c>
      <c r="I9">
        <v>3</v>
      </c>
      <c r="J9">
        <v>2</v>
      </c>
      <c r="K9">
        <f>IF(tDatosMaestros[[#This Row],[TIPO PROFESOR]]="HRS", 3,2)</f>
        <v>2</v>
      </c>
      <c r="L9" t="str">
        <f>IFERROR( INDEX(LaboratoriosID[ID], MATCH( INDEX(LaboratoriosMaterias[Laboratorio], MATCH(tDatosMaestros[[#This Row],[ASIGNATURA]],LaboratoriosMaterias[Materia],0)), LaboratoriosID[Laboratorio],0)), "")</f>
        <v>MS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</row>
    <row r="10" spans="1:15" x14ac:dyDescent="0.25">
      <c r="A10" s="2">
        <v>5707</v>
      </c>
      <c r="B10" s="19" t="str">
        <f>"Nombre maestro "&amp;tDatosMaestros[[#This Row],[NO_CONTROL]]</f>
        <v>Nombre maestro 5707</v>
      </c>
      <c r="C10" s="19" t="s">
        <v>60</v>
      </c>
      <c r="D10" s="2">
        <v>5</v>
      </c>
      <c r="E10" s="2" t="s">
        <v>26</v>
      </c>
      <c r="F10" s="3" t="s">
        <v>9</v>
      </c>
      <c r="G10" s="3" t="s">
        <v>23</v>
      </c>
      <c r="H10" t="s">
        <v>128</v>
      </c>
      <c r="I10">
        <v>3</v>
      </c>
      <c r="J10">
        <v>2</v>
      </c>
      <c r="K10">
        <f>IF(tDatosMaestros[[#This Row],[TIPO PROFESOR]]="HRS", 3,2)</f>
        <v>2</v>
      </c>
      <c r="L10" t="str">
        <f>IFERROR( INDEX(LaboratoriosID[ID], MATCH( INDEX(LaboratoriosMaterias[Laboratorio], MATCH(tDatosMaestros[[#This Row],[ASIGNATURA]],LaboratoriosMaterias[Materia],0)), LaboratoriosID[Laboratorio],0)), "")</f>
        <v>MS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</row>
    <row r="11" spans="1:15" x14ac:dyDescent="0.25">
      <c r="A11" s="1">
        <v>194</v>
      </c>
      <c r="B11" s="18" t="str">
        <f>"Nombre maestro "&amp;tDatosMaestros[[#This Row],[NO_CONTROL]]</f>
        <v>Nombre maestro 194</v>
      </c>
      <c r="C11" s="18" t="s">
        <v>39</v>
      </c>
      <c r="D11" s="1">
        <v>4</v>
      </c>
      <c r="E11" s="1" t="s">
        <v>33</v>
      </c>
      <c r="F11" t="s">
        <v>9</v>
      </c>
      <c r="G11" t="s">
        <v>10</v>
      </c>
      <c r="H11" t="s">
        <v>106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18" t="str">
        <f>"Nombre maestro "&amp;tDatosMaestros[[#This Row],[NO_CONTROL]]</f>
        <v>Nombre maestro 194</v>
      </c>
      <c r="C12" s="18" t="s">
        <v>64</v>
      </c>
      <c r="D12" s="1">
        <v>5</v>
      </c>
      <c r="E12" s="1" t="s">
        <v>32</v>
      </c>
      <c r="F12" t="s">
        <v>9</v>
      </c>
      <c r="G12" t="s">
        <v>10</v>
      </c>
      <c r="H12" t="s">
        <v>107</v>
      </c>
      <c r="I12">
        <v>3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194</v>
      </c>
      <c r="B13" s="18" t="str">
        <f>"Nombre maestro "&amp;tDatosMaestros[[#This Row],[NO_CONTROL]]</f>
        <v>Nombre maestro 194</v>
      </c>
      <c r="C13" s="18" t="s">
        <v>40</v>
      </c>
      <c r="D13" s="1">
        <v>4</v>
      </c>
      <c r="E13" s="1" t="s">
        <v>33</v>
      </c>
      <c r="F13" t="s">
        <v>9</v>
      </c>
      <c r="G13" t="s">
        <v>10</v>
      </c>
      <c r="H13" t="s">
        <v>108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>MS</v>
      </c>
      <c r="N13">
        <v>0</v>
      </c>
      <c r="O13">
        <v>10</v>
      </c>
    </row>
    <row r="14" spans="1:15" x14ac:dyDescent="0.25">
      <c r="A14" s="1">
        <v>194</v>
      </c>
      <c r="B14" s="18" t="str">
        <f>"Nombre maestro "&amp;tDatosMaestros[[#This Row],[NO_CONTROL]]</f>
        <v>Nombre maestro 194</v>
      </c>
      <c r="C14" s="18" t="s">
        <v>41</v>
      </c>
      <c r="D14" s="1">
        <v>4</v>
      </c>
      <c r="E14" s="1" t="s">
        <v>34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1017</v>
      </c>
      <c r="B15" s="18" t="str">
        <f>"Nombre maestro "&amp;tDatosMaestros[[#This Row],[NO_CONTROL]]</f>
        <v>Nombre maestro 1017</v>
      </c>
      <c r="C15" s="18" t="s">
        <v>121</v>
      </c>
      <c r="D15" s="1">
        <v>4</v>
      </c>
      <c r="E15" s="1" t="s">
        <v>12</v>
      </c>
      <c r="F15" t="s">
        <v>9</v>
      </c>
      <c r="G15" t="s">
        <v>10</v>
      </c>
      <c r="H15" t="s">
        <v>122</v>
      </c>
      <c r="I15">
        <v>2</v>
      </c>
      <c r="J15">
        <v>2</v>
      </c>
      <c r="K15">
        <f>IF(tDatosMaestros[[#This Row],[TIPO PROFESOR]]="HRS", 3,2)</f>
        <v>3</v>
      </c>
      <c r="L15" t="str">
        <f>IFERROR( INDEX(LaboratoriosID[ID], MATCH( INDEX(LaboratoriosMaterias[Laboratorio], MATCH(tDatosMaestros[[#This Row],[ASIGNATURA]],LaboratoriosMaterias[Materia],0)), LaboratoriosID[Laboratorio],0)), "")</f>
        <v>MN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</row>
    <row r="16" spans="1:15" x14ac:dyDescent="0.25">
      <c r="A16" s="1">
        <v>1230</v>
      </c>
      <c r="B16" s="18" t="str">
        <f>"Nombre maestro "&amp;tDatosMaestros[[#This Row],[NO_CONTROL]]</f>
        <v>Nombre maestro 1230</v>
      </c>
      <c r="C16" s="18" t="s">
        <v>41</v>
      </c>
      <c r="D16" s="1">
        <v>4</v>
      </c>
      <c r="E16" s="1" t="s">
        <v>32</v>
      </c>
      <c r="F16" t="s">
        <v>9</v>
      </c>
      <c r="G16" t="s">
        <v>10</v>
      </c>
      <c r="H16" t="s">
        <v>109</v>
      </c>
      <c r="I16">
        <v>2</v>
      </c>
      <c r="J16">
        <v>2</v>
      </c>
      <c r="K16">
        <f>IF(tDatosMaestros[[#This Row],[TIPO PROFESOR]]="HRS", 3,2)</f>
        <v>3</v>
      </c>
      <c r="L16" t="str">
        <f>IFERROR( INDEX(LaboratoriosID[ID], MATCH( INDEX(LaboratoriosMaterias[Laboratorio], MATCH(tDatosMaestros[[#This Row],[ASIGNATURA]],LaboratoriosMaterias[Materia],0)), LaboratoriosID[Laboratorio],0)), "")</f>
        <v>MN</v>
      </c>
      <c r="M16" t="str">
        <f>IFERROR( INDEX(LaboratoriosID[ID], MATCH( INDEX(LaboratoriosMaterias[LaboratorioB], MATCH(tDatosMaestros[[#This Row],[ASIGNATURA]],LaboratoriosMaterias[Materia],0)), LaboratoriosID[Laboratorio],0)), "")</f>
        <v>MS</v>
      </c>
      <c r="N16">
        <v>0</v>
      </c>
      <c r="O16">
        <v>10</v>
      </c>
    </row>
    <row r="17" spans="1:15" x14ac:dyDescent="0.25">
      <c r="A17" s="1">
        <v>1230</v>
      </c>
      <c r="B17" s="18" t="str">
        <f>"Nombre maestro "&amp;tDatosMaestros[[#This Row],[NO_CONTROL]]</f>
        <v>Nombre maestro 1230</v>
      </c>
      <c r="C17" s="18" t="s">
        <v>64</v>
      </c>
      <c r="D17" s="1">
        <v>5</v>
      </c>
      <c r="E17" s="1" t="s">
        <v>34</v>
      </c>
      <c r="F17" t="s">
        <v>9</v>
      </c>
      <c r="G17" t="s">
        <v>10</v>
      </c>
      <c r="H17" t="s">
        <v>107</v>
      </c>
      <c r="I17">
        <v>3</v>
      </c>
      <c r="J17">
        <v>2</v>
      </c>
      <c r="K17">
        <f>IF(tDatosMaestros[[#This Row],[TIPO PROFESOR]]="HRS", 3,2)</f>
        <v>3</v>
      </c>
      <c r="L17" t="str">
        <f>IFERROR( INDEX(LaboratoriosID[ID], MATCH( INDEX(LaboratoriosMaterias[Laboratorio], MATCH(tDatosMaestros[[#This Row],[ASIGNATURA]],LaboratoriosMaterias[Materia],0)), LaboratoriosID[Laboratorio],0)), "")</f>
        <v>MN</v>
      </c>
      <c r="M17" t="str">
        <f>IFERROR( INDEX(LaboratoriosID[ID], MATCH( INDEX(LaboratoriosMaterias[LaboratorioB], MATCH(tDatosMaestros[[#This Row],[ASIGNATURA]],LaboratoriosMaterias[Materia],0)), LaboratoriosID[Laboratorio],0)), "")</f>
        <v>MS</v>
      </c>
      <c r="N17">
        <v>0</v>
      </c>
      <c r="O17">
        <v>10</v>
      </c>
    </row>
    <row r="18" spans="1:15" x14ac:dyDescent="0.25">
      <c r="A18" s="24">
        <v>3010</v>
      </c>
      <c r="B18" s="25" t="str">
        <f>"Nombre maestro "&amp;tDatosMaestros[[#This Row],[NO_CONTROL]]</f>
        <v>Nombre maestro 3010</v>
      </c>
      <c r="C18" s="25" t="s">
        <v>121</v>
      </c>
      <c r="D18" s="24">
        <v>4</v>
      </c>
      <c r="E18" s="24" t="s">
        <v>8</v>
      </c>
      <c r="F18" s="26" t="s">
        <v>9</v>
      </c>
      <c r="G18" s="26" t="s">
        <v>10</v>
      </c>
      <c r="H18" s="26" t="s">
        <v>122</v>
      </c>
      <c r="I18" s="26">
        <v>2</v>
      </c>
      <c r="J18" s="26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18" t="str">
        <f>"Nombre maestro "&amp;tDatosMaestros[[#This Row],[NO_CONTROL]]</f>
        <v>Nombre maestro 4179</v>
      </c>
      <c r="C19" s="18" t="s">
        <v>121</v>
      </c>
      <c r="D19" s="1">
        <v>4</v>
      </c>
      <c r="E19" s="1" t="s">
        <v>30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18" t="str">
        <f>"Nombre maestro "&amp;tDatosMaestros[[#This Row],[NO_CONTROL]]</f>
        <v>Nombre maestro 4179</v>
      </c>
      <c r="C20" s="18" t="s">
        <v>121</v>
      </c>
      <c r="D20" s="1">
        <v>4</v>
      </c>
      <c r="E20" s="1" t="s">
        <v>20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18" t="str">
        <f>"Nombre maestro "&amp;tDatosMaestros[[#This Row],[NO_CONTROL]]</f>
        <v>Nombre maestro 4179</v>
      </c>
      <c r="C21" s="18" t="s">
        <v>121</v>
      </c>
      <c r="D21" s="1">
        <v>4</v>
      </c>
      <c r="E21" s="1" t="s">
        <v>16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18" t="str">
        <f>"Nombre maestro "&amp;tDatosMaestros[[#This Row],[NO_CONTROL]]</f>
        <v>Nombre maestro 4179</v>
      </c>
      <c r="C22" s="18" t="s">
        <v>121</v>
      </c>
      <c r="D22" s="1">
        <v>4</v>
      </c>
      <c r="E22" s="1" t="s">
        <v>17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18" t="str">
        <f>"Nombre maestro "&amp;tDatosMaestros[[#This Row],[NO_CONTROL]]</f>
        <v>Nombre maestro 4179</v>
      </c>
      <c r="C23" s="18" t="s">
        <v>121</v>
      </c>
      <c r="D23" s="1">
        <v>4</v>
      </c>
      <c r="E23" s="1" t="s">
        <v>18</v>
      </c>
      <c r="F23" t="s">
        <v>9</v>
      </c>
      <c r="G23" t="s">
        <v>10</v>
      </c>
      <c r="H23" t="s">
        <v>122</v>
      </c>
      <c r="I23">
        <v>2</v>
      </c>
      <c r="J23">
        <v>2</v>
      </c>
      <c r="K23">
        <f>IF(tDatosMaestros[[#This Row],[TIPO PROFESOR]]="HRS", 3,2)</f>
        <v>3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/>
      </c>
      <c r="N23">
        <v>0</v>
      </c>
      <c r="O23">
        <v>10</v>
      </c>
    </row>
    <row r="24" spans="1:15" x14ac:dyDescent="0.25">
      <c r="A24" s="1">
        <v>4179</v>
      </c>
      <c r="B24" s="18" t="str">
        <f>"Nombre maestro "&amp;tDatosMaestros[[#This Row],[NO_CONTROL]]</f>
        <v>Nombre maestro 4179</v>
      </c>
      <c r="C24" s="18" t="s">
        <v>56</v>
      </c>
      <c r="D24" s="1">
        <v>4</v>
      </c>
      <c r="E24" s="1" t="s">
        <v>24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IFERROR( INDEX(LaboratoriosID[ID], MATCH( INDEX(LaboratoriosMaterias[Laboratorio], MATCH(tDatosMaestros[[#This Row],[ASIGNATURA]],LaboratoriosMaterias[Materia],0)), LaboratoriosID[Laboratorio],0)), "")</f>
        <v>MN</v>
      </c>
      <c r="M24" t="str">
        <f>IFERROR( INDEX(LaboratoriosID[ID], MATCH( INDEX(LaboratoriosMaterias[LaboratorioB], MATCH(tDatosMaestros[[#This Row],[ASIGNATURA]],LaboratoriosMaterias[Materia],0)), LaboratoriosID[Laboratorio],0)), "")</f>
        <v>MS</v>
      </c>
      <c r="N24">
        <v>0</v>
      </c>
      <c r="O24">
        <v>10</v>
      </c>
    </row>
    <row r="25" spans="1:15" x14ac:dyDescent="0.25">
      <c r="A25" s="2">
        <v>5707</v>
      </c>
      <c r="B25" s="19" t="str">
        <f>"Nombre maestro "&amp;tDatosMaestros[[#This Row],[NO_CONTROL]]</f>
        <v>Nombre maestro 5707</v>
      </c>
      <c r="C25" s="19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MN</v>
      </c>
      <c r="M25" t="str">
        <f>IFERROR(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19" t="str">
        <f>"Nombre maestro "&amp;tDatosMaestros[[#This Row],[NO_CONTROL]]</f>
        <v>Nombre maestro 5707</v>
      </c>
      <c r="C26" s="19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MN</v>
      </c>
      <c r="M26" t="str">
        <f>IFERROR(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19" t="str">
        <f>"Nombre maestro "&amp;tDatosMaestros[[#This Row],[NO_CONTROL]]</f>
        <v>Nombre maestro 5707</v>
      </c>
      <c r="C27" s="19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MN</v>
      </c>
      <c r="M27" t="str">
        <f>IFERROR(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19" t="str">
        <f>"Nombre maestro "&amp;tDatosMaestros[[#This Row],[NO_CONTROL]]</f>
        <v>Nombre maestro 1260</v>
      </c>
      <c r="C28" s="19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LQ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19" t="str">
        <f>"Nombre maestro "&amp;tDatosMaestros[[#This Row],[NO_CONTROL]]</f>
        <v>Nombre maestro 1260</v>
      </c>
      <c r="C29" s="19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LQ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19" t="str">
        <f>"Nombre maestro "&amp;tDatosMaestros[[#This Row],[NO_CONTROL]]</f>
        <v>Nombre maestro 1260</v>
      </c>
      <c r="C30" s="19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LQ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19" t="str">
        <f>"Nombre maestro "&amp;tDatosMaestros[[#This Row],[NO_CONTROL]]</f>
        <v>Nombre maestro 1260</v>
      </c>
      <c r="C31" s="19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LQ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18" t="str">
        <f>"Nombre maestro "&amp;tDatosMaestros[[#This Row],[NO_CONTROL]]</f>
        <v>Nombre maestro 2593</v>
      </c>
      <c r="C32" s="18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LQ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18" t="str">
        <f>"Nombre maestro "&amp;tDatosMaestros[[#This Row],[NO_CONTROL]]</f>
        <v>Nombre maestro 2593</v>
      </c>
      <c r="C33" s="18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IFERROR( INDEX(LaboratoriosID[ID], MATCH( INDEX(LaboratoriosMaterias[Laboratorio], MATCH(tDatosMaestros[[#This Row],[ASIGNATURA]],LaboratoriosMaterias[Materia],0)), LaboratoriosID[Laboratorio],0)), "")</f>
        <v>LQ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18" t="str">
        <f>"Nombre maestro "&amp;tDatosMaestros[[#This Row],[NO_CONTROL]]</f>
        <v>Nombre maestro 2593</v>
      </c>
      <c r="C34" s="18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IFERROR( INDEX(LaboratoriosID[ID], MATCH( INDEX(LaboratoriosMaterias[Laboratorio], MATCH(tDatosMaestros[[#This Row],[ASIGNATURA]],LaboratoriosMaterias[Materia],0)), LaboratoriosID[Laboratorio],0)), "")</f>
        <v>LQ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18" t="str">
        <f>"Nombre maestro "&amp;tDatosMaestros[[#This Row],[NO_CONTROL]]</f>
        <v>Nombre maestro 2593</v>
      </c>
      <c r="C35" s="18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19" t="str">
        <f>"Nombre maestro "&amp;tDatosMaestros[[#This Row],[NO_CONTROL]]</f>
        <v>Nombre maestro 76</v>
      </c>
      <c r="C36" s="19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IFERROR( INDEX(LaboratoriosID[ID], MATCH( INDEX(LaboratoriosMaterias[Laboratorio], MATCH(tDatosMaestros[[#This Row],[ASIGNATURA]],LaboratoriosMaterias[Materia],0)), LaboratoriosID[Laboratorio],0)), "")</f>
        <v>LF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19" t="str">
        <f>"Nombre maestro "&amp;tDatosMaestros[[#This Row],[NO_CONTROL]]</f>
        <v>Nombre maestro 76</v>
      </c>
      <c r="C37" s="19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IFERROR( INDEX(LaboratoriosID[ID], MATCH( INDEX(LaboratoriosMaterias[Laboratorio], MATCH(tDatosMaestros[[#This Row],[ASIGNATURA]],LaboratoriosMaterias[Materia],0)), LaboratoriosID[Laboratorio],0)), "")</f>
        <v>LF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19" t="str">
        <f>"Nombre maestro "&amp;tDatosMaestros[[#This Row],[NO_CONTROL]]</f>
        <v>Nombre maestro 76</v>
      </c>
      <c r="C38" s="19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IFERROR( INDEX(LaboratoriosID[ID], MATCH( INDEX(LaboratoriosMaterias[Laboratorio], MATCH(tDatosMaestros[[#This Row],[ASIGNATURA]],LaboratoriosMaterias[Materia],0)), LaboratoriosID[Laboratorio],0)), "")</f>
        <v>LF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19" t="str">
        <f>"Nombre maestro "&amp;tDatosMaestros[[#This Row],[NO_CONTROL]]</f>
        <v>Nombre maestro 76</v>
      </c>
      <c r="C39" s="19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18" t="str">
        <f>"Nombre maestro "&amp;tDatosMaestros[[#This Row],[NO_CONTROL]]</f>
        <v>Nombre maestro 839</v>
      </c>
      <c r="C40" s="18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18" t="str">
        <f>"Nombre maestro "&amp;tDatosMaestros[[#This Row],[NO_CONTROL]]</f>
        <v>Nombre maestro 839</v>
      </c>
      <c r="C41" s="18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18" t="str">
        <f>"Nombre maestro "&amp;tDatosMaestros[[#This Row],[NO_CONTROL]]</f>
        <v>Nombre maestro 1017</v>
      </c>
      <c r="C42" s="18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LF</v>
      </c>
      <c r="M42" t="str">
        <f>IFERROR(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18" t="str">
        <f>"Nombre maestro "&amp;tDatosMaestros[[#This Row],[NO_CONTROL]]</f>
        <v>Nombre maestro 1906</v>
      </c>
      <c r="C43" s="18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LF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18" t="str">
        <f>"Nombre maestro "&amp;tDatosMaestros[[#This Row],[NO_CONTROL]]</f>
        <v>Nombre maestro 1906</v>
      </c>
      <c r="C44" s="18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LF</v>
      </c>
      <c r="M44" t="str">
        <f>IFERROR(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18" t="str">
        <f>"Nombre maestro "&amp;tDatosMaestros[[#This Row],[NO_CONTROL]]</f>
        <v>Nombre maestro 1906</v>
      </c>
      <c r="C45" s="18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LF</v>
      </c>
      <c r="M45" t="str">
        <f>IFERROR(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18" t="str">
        <f>"Nombre maestro "&amp;tDatosMaestros[[#This Row],[NO_CONTROL]]</f>
        <v>Nombre maestro 4318</v>
      </c>
      <c r="C46" s="1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18" t="str">
        <f>"Nombre maestro "&amp;tDatosMaestros[[#This Row],[NO_CONTROL]]</f>
        <v>Nombre maestro 4318</v>
      </c>
      <c r="C47" s="1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19" t="str">
        <f>"Nombre maestro "&amp;tDatosMaestros[[#This Row],[NO_CONTROL]]</f>
        <v>Nombre maestro 1260</v>
      </c>
      <c r="C48" s="19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19" t="str">
        <f>"Nombre maestro "&amp;tDatosMaestros[[#This Row],[NO_CONTROL]]</f>
        <v>Nombre maestro 1260</v>
      </c>
      <c r="C49" s="19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IFERROR( INDEX(LaboratoriosID[ID], MATCH( INDEX(LaboratoriosMaterias[Laboratorio], MATCH(tDatosMaestros[[#This Row],[ASIGNATURA]],LaboratoriosMaterias[Materia],0)), LaboratoriosID[Laboratorio],0)), "")</f>
        <v>LB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18" t="str">
        <f>"Nombre maestro "&amp;tDatosMaestros[[#This Row],[NO_CONTROL]]</f>
        <v>Nombre maestro 3686</v>
      </c>
      <c r="C50" s="18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LB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18" t="str">
        <f>"Nombre maestro "&amp;tDatosMaestros[[#This Row],[NO_CONTROL]]</f>
        <v>Nombre maestro 4318</v>
      </c>
      <c r="C51" s="18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21">
        <v>1017</v>
      </c>
      <c r="B52" s="22" t="str">
        <f>"Nombre maestro "&amp;tDatosMaestros[[#This Row],[NO_CONTROL]]</f>
        <v>Nombre maestro 1017</v>
      </c>
      <c r="C52" s="22" t="s">
        <v>117</v>
      </c>
      <c r="D52" s="21">
        <v>8</v>
      </c>
      <c r="E52" s="21" t="s">
        <v>31</v>
      </c>
      <c r="F52" s="23" t="s">
        <v>9</v>
      </c>
      <c r="G52" s="23" t="s">
        <v>10</v>
      </c>
      <c r="H52" s="23" t="s">
        <v>118</v>
      </c>
      <c r="I52" s="23">
        <v>5</v>
      </c>
      <c r="J52" s="2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18" t="str">
        <f>"Nombre maestro "&amp;tDatosMaestros[[#This Row],[NO_CONTROL]]</f>
        <v>Nombre maestro 1017</v>
      </c>
      <c r="C53" s="18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21">
        <v>1017</v>
      </c>
      <c r="B54" s="22" t="str">
        <f>"Nombre maestro "&amp;tDatosMaestros[[#This Row],[NO_CONTROL]]</f>
        <v>Nombre maestro 1017</v>
      </c>
      <c r="C54" s="22" t="s">
        <v>54</v>
      </c>
      <c r="D54" s="21">
        <v>8</v>
      </c>
      <c r="E54" s="21" t="s">
        <v>22</v>
      </c>
      <c r="F54" s="23" t="s">
        <v>9</v>
      </c>
      <c r="G54" s="23" t="s">
        <v>10</v>
      </c>
      <c r="H54" s="23" t="s">
        <v>120</v>
      </c>
      <c r="I54" s="23">
        <v>5</v>
      </c>
      <c r="J54" s="23">
        <v>3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18" t="str">
        <f>"Nombre maestro "&amp;tDatosMaestros[[#This Row],[NO_CONTROL]]</f>
        <v>Nombre maestro 1230</v>
      </c>
      <c r="C55" s="1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19" t="str">
        <f>"Nombre maestro "&amp;tDatosMaestros[[#This Row],[NO_CONTROL]]</f>
        <v>Nombre maestro 76</v>
      </c>
      <c r="C56" s="19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19" t="str">
        <f>"Nombre maestro "&amp;tDatosMaestros[[#This Row],[NO_CONTROL]]</f>
        <v>Nombre maestro 76</v>
      </c>
      <c r="C57" s="19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18" t="str">
        <f>"Nombre maestro "&amp;tDatosMaestros[[#This Row],[NO_CONTROL]]</f>
        <v>Nombre maestro 347</v>
      </c>
      <c r="C58" s="18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18" t="str">
        <f>"Nombre maestro "&amp;tDatosMaestros[[#This Row],[NO_CONTROL]]</f>
        <v>Nombre maestro 347</v>
      </c>
      <c r="C59" s="18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18" t="str">
        <f>"Nombre maestro "&amp;tDatosMaestros[[#This Row],[NO_CONTROL]]</f>
        <v>Nombre maestro 347</v>
      </c>
      <c r="C60" s="18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18" t="str">
        <f>"Nombre maestro "&amp;tDatosMaestros[[#This Row],[NO_CONTROL]]</f>
        <v>Nombre maestro 347</v>
      </c>
      <c r="C61" s="18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</row>
    <row r="62" spans="1:15" x14ac:dyDescent="0.25">
      <c r="A62" s="1">
        <v>439</v>
      </c>
      <c r="B62" s="18" t="str">
        <f>"Nombre maestro "&amp;tDatosMaestros[[#This Row],[NO_CONTROL]]</f>
        <v>Nombre maestro 439</v>
      </c>
      <c r="C62" s="18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18" t="str">
        <f>"Nombre maestro "&amp;tDatosMaestros[[#This Row],[NO_CONTROL]]</f>
        <v>Nombre maestro 1230</v>
      </c>
      <c r="C63" s="18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18" t="str">
        <f>"Nombre maestro "&amp;tDatosMaestros[[#This Row],[NO_CONTROL]]</f>
        <v>Nombre maestro 1230</v>
      </c>
      <c r="C64" s="18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18" t="str">
        <f>"Nombre maestro "&amp;tDatosMaestros[[#This Row],[NO_CONTROL]]</f>
        <v>Nombre maestro 1230</v>
      </c>
      <c r="C65" s="18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18" t="str">
        <f>"Nombre maestro "&amp;tDatosMaestros[[#This Row],[NO_CONTROL]]</f>
        <v>Nombre maestro 1230</v>
      </c>
      <c r="C66" s="18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18" t="str">
        <f>"Nombre maestro "&amp;tDatosMaestros[[#This Row],[NO_CONTROL]]</f>
        <v>Nombre maestro 1374</v>
      </c>
      <c r="C67" s="18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18" t="str">
        <f>"Nombre maestro "&amp;tDatosMaestros[[#This Row],[NO_CONTROL]]</f>
        <v>Nombre maestro 1374</v>
      </c>
      <c r="C68" s="18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18" t="str">
        <f>"Nombre maestro "&amp;tDatosMaestros[[#This Row],[NO_CONTROL]]</f>
        <v>Nombre maestro 1906</v>
      </c>
      <c r="C69" s="18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18" t="str">
        <f>"Nombre maestro "&amp;tDatosMaestros[[#This Row],[NO_CONTROL]]</f>
        <v>Nombre maestro 1906</v>
      </c>
      <c r="C70" s="18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18" t="str">
        <f>"Nombre maestro "&amp;tDatosMaestros[[#This Row],[NO_CONTROL]]</f>
        <v>Nombre maestro 2593</v>
      </c>
      <c r="C71" s="18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18" t="str">
        <f>"Nombre maestro "&amp;tDatosMaestros[[#This Row],[NO_CONTROL]]</f>
        <v>Nombre maestro 2593</v>
      </c>
      <c r="C72" s="18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18" t="str">
        <f>"Nombre maestro "&amp;tDatosMaestros[[#This Row],[NO_CONTROL]]</f>
        <v>Nombre maestro 3686</v>
      </c>
      <c r="C73" s="18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18" t="str">
        <f>"Nombre maestro "&amp;tDatosMaestros[[#This Row],[NO_CONTROL]]</f>
        <v>Nombre maestro 3976</v>
      </c>
      <c r="C74" s="18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18" t="str">
        <f>"Nombre maestro "&amp;tDatosMaestros[[#This Row],[NO_CONTROL]]</f>
        <v>Nombre maestro 3976</v>
      </c>
      <c r="C75" s="18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18" t="str">
        <f>"Nombre maestro "&amp;tDatosMaestros[[#This Row],[NO_CONTROL]]</f>
        <v>Nombre maestro 3976</v>
      </c>
      <c r="C76" s="18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</row>
    <row r="77" spans="1:15" x14ac:dyDescent="0.25">
      <c r="A77" s="1">
        <v>3976</v>
      </c>
      <c r="B77" s="18" t="str">
        <f>"Nombre maestro "&amp;tDatosMaestros[[#This Row],[NO_CONTROL]]</f>
        <v>Nombre maestro 3976</v>
      </c>
      <c r="C77" s="18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</row>
    <row r="78" spans="1:15" x14ac:dyDescent="0.25">
      <c r="A78" s="1">
        <v>3976</v>
      </c>
      <c r="B78" s="18" t="str">
        <f>"Nombre maestro "&amp;tDatosMaestros[[#This Row],[NO_CONTROL]]</f>
        <v>Nombre maestro 3976</v>
      </c>
      <c r="C78" s="18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18" t="str">
        <f>"Nombre maestro "&amp;tDatosMaestros[[#This Row],[NO_CONTROL]]</f>
        <v>Nombre maestro 3976</v>
      </c>
      <c r="C79" s="18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18" t="str">
        <f>"Nombre maestro "&amp;tDatosMaestros[[#This Row],[NO_CONTROL]]</f>
        <v>Nombre maestro 3976</v>
      </c>
      <c r="C80" s="18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18" t="str">
        <f>"Nombre maestro "&amp;tDatosMaestros[[#This Row],[NO_CONTROL]]</f>
        <v>Nombre maestro 3976</v>
      </c>
      <c r="C81" s="18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18" t="str">
        <f>"Nombre maestro "&amp;tDatosMaestros[[#This Row],[NO_CONTROL]]</f>
        <v>Nombre maestro 3976</v>
      </c>
      <c r="C82" s="18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</row>
    <row r="83" spans="1:15" x14ac:dyDescent="0.25">
      <c r="A83" s="1">
        <v>3976</v>
      </c>
      <c r="B83" s="18" t="str">
        <f>"Nombre maestro "&amp;tDatosMaestros[[#This Row],[NO_CONTROL]]</f>
        <v>Nombre maestro 3976</v>
      </c>
      <c r="C83" s="18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</row>
    <row r="84" spans="1:15" x14ac:dyDescent="0.25">
      <c r="A84" s="2">
        <v>4407</v>
      </c>
      <c r="B84" s="19" t="str">
        <f>"Nombre maestro "&amp;tDatosMaestros[[#This Row],[NO_CONTROL]]</f>
        <v>Nombre maestro 4407</v>
      </c>
      <c r="C84" s="19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19" t="str">
        <f>"Nombre maestro "&amp;tDatosMaestros[[#This Row],[NO_CONTROL]]</f>
        <v>Nombre maestro 4407</v>
      </c>
      <c r="C85" s="19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19" t="str">
        <f>"Nombre maestro "&amp;tDatosMaestros[[#This Row],[NO_CONTROL]]</f>
        <v>Nombre maestro 4407</v>
      </c>
      <c r="C86" s="19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19" t="str">
        <f>"Nombre maestro "&amp;tDatosMaestros[[#This Row],[NO_CONTROL]]</f>
        <v>Nombre maestro 4407</v>
      </c>
      <c r="C87" s="19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18" t="str">
        <f>"Nombre maestro "&amp;tDatosMaestros[[#This Row],[NO_CONTROL]]</f>
        <v>Nombre maestro 4431</v>
      </c>
      <c r="C88" s="18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18" t="str">
        <f>"Nombre maestro "&amp;tDatosMaestros[[#This Row],[NO_CONTROL]]</f>
        <v>Nombre maestro 4431</v>
      </c>
      <c r="C89" s="18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18" t="str">
        <f>"Nombre maestro "&amp;tDatosMaestros[[#This Row],[NO_CONTROL]]</f>
        <v>Nombre maestro 4431</v>
      </c>
      <c r="C90" s="18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18" t="str">
        <f>"Nombre maestro "&amp;tDatosMaestros[[#This Row],[NO_CONTROL]]</f>
        <v>Nombre maestro 4431</v>
      </c>
      <c r="C91" s="18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18" t="str">
        <f>"Nombre maestro "&amp;tDatosMaestros[[#This Row],[NO_CONTROL]]</f>
        <v>Nombre maestro 4442</v>
      </c>
      <c r="C92" s="18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18" t="str">
        <f>"Nombre maestro "&amp;tDatosMaestros[[#This Row],[NO_CONTROL]]</f>
        <v>Nombre maestro 4732</v>
      </c>
      <c r="C93" s="18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18" t="str">
        <f>"Nombre maestro "&amp;tDatosMaestros[[#This Row],[NO_CONTROL]]</f>
        <v>Nombre maestro 4732</v>
      </c>
      <c r="C94" s="18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18" t="str">
        <f>"Nombre maestro "&amp;tDatosMaestros[[#This Row],[NO_CONTROL]]</f>
        <v>Nombre maestro 4732</v>
      </c>
      <c r="C95" s="18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18" t="str">
        <f>"Nombre maestro "&amp;tDatosMaestros[[#This Row],[NO_CONTROL]]</f>
        <v>Nombre maestro 4802</v>
      </c>
      <c r="C96" s="18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18" t="str">
        <f>"Nombre maestro "&amp;tDatosMaestros[[#This Row],[NO_CONTROL]]</f>
        <v>Nombre maestro 4802</v>
      </c>
      <c r="C97" s="18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18" t="str">
        <f>"Nombre maestro "&amp;tDatosMaestros[[#This Row],[NO_CONTROL]]</f>
        <v>Nombre maestro 4802</v>
      </c>
      <c r="C98" s="18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18" t="str">
        <f>"Nombre maestro "&amp;tDatosMaestros[[#This Row],[NO_CONTROL]]</f>
        <v>Nombre maestro 4802</v>
      </c>
      <c r="C99" s="18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18" t="str">
        <f>"Nombre maestro "&amp;tDatosMaestros[[#This Row],[NO_CONTROL]]</f>
        <v>Nombre maestro 4879</v>
      </c>
      <c r="C100" s="18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18" t="str">
        <f>"Nombre maestro "&amp;tDatosMaestros[[#This Row],[NO_CONTROL]]</f>
        <v>Nombre maestro 4879</v>
      </c>
      <c r="C101" s="18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19" t="str">
        <f>"Nombre maestro "&amp;tDatosMaestros[[#This Row],[NO_CONTROL]]</f>
        <v>Nombre maestro 5155</v>
      </c>
      <c r="C102" s="19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19" t="str">
        <f>"Nombre maestro "&amp;tDatosMaestros[[#This Row],[NO_CONTROL]]</f>
        <v>Nombre maestro 5155</v>
      </c>
      <c r="C103" s="19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19" t="str">
        <f>"Nombre maestro "&amp;tDatosMaestros[[#This Row],[NO_CONTROL]]</f>
        <v>Nombre maestro 5155</v>
      </c>
      <c r="C104" s="19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18" t="str">
        <f>"Nombre maestro "&amp;tDatosMaestros[[#This Row],[NO_CONTROL]]</f>
        <v>Nombre maestro 5212</v>
      </c>
      <c r="C105" s="18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18" t="str">
        <f>"Nombre maestro "&amp;tDatosMaestros[[#This Row],[NO_CONTROL]]</f>
        <v>Nombre maestro 5212</v>
      </c>
      <c r="C106" s="18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18" t="str">
        <f>"Nombre maestro "&amp;tDatosMaestros[[#This Row],[NO_CONTROL]]</f>
        <v>Nombre maestro 5321</v>
      </c>
      <c r="C107" s="18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18" t="str">
        <f>"Nombre maestro "&amp;tDatosMaestros[[#This Row],[NO_CONTROL]]</f>
        <v>Nombre maestro 5321</v>
      </c>
      <c r="C108" s="18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18" t="str">
        <f>"Nombre maestro "&amp;tDatosMaestros[[#This Row],[NO_CONTROL]]</f>
        <v>Nombre maestro 5321</v>
      </c>
      <c r="C109" s="18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18" t="str">
        <f>"Nombre maestro "&amp;tDatosMaestros[[#This Row],[NO_CONTROL]]</f>
        <v>Nombre maestro 5321</v>
      </c>
      <c r="C110" s="18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18" t="str">
        <f>"Nombre maestro "&amp;tDatosMaestros[[#This Row],[NO_CONTROL]]</f>
        <v>Nombre maestro 5321</v>
      </c>
      <c r="C111" s="18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18" t="str">
        <f>"Nombre maestro "&amp;tDatosMaestros[[#This Row],[NO_CONTROL]]</f>
        <v>Nombre maestro 5321</v>
      </c>
      <c r="C112" s="18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18" t="str">
        <f>"Nombre maestro "&amp;tDatosMaestros[[#This Row],[NO_CONTROL]]</f>
        <v>Nombre maestro 5321</v>
      </c>
      <c r="C113" s="18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18" t="str">
        <f>"Nombre maestro "&amp;tDatosMaestros[[#This Row],[NO_CONTROL]]</f>
        <v>Nombre maestro 5321</v>
      </c>
      <c r="C114" s="18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18" t="str">
        <f>"Nombre maestro "&amp;tDatosMaestros[[#This Row],[NO_CONTROL]]</f>
        <v>Nombre maestro 5610</v>
      </c>
      <c r="C115" s="18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18" t="str">
        <f>"Nombre maestro "&amp;tDatosMaestros[[#This Row],[NO_CONTROL]]</f>
        <v>Nombre maestro 5610</v>
      </c>
      <c r="C116" s="18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18" t="str">
        <f>"Nombre maestro "&amp;tDatosMaestros[[#This Row],[NO_CONTROL]]</f>
        <v>Nombre maestro 5610</v>
      </c>
      <c r="C117" s="18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18" t="str">
        <f>"Nombre maestro "&amp;tDatosMaestros[[#This Row],[NO_CONTROL]]</f>
        <v>Nombre maestro 5625</v>
      </c>
      <c r="C118" s="18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18" t="str">
        <f>"Nombre maestro "&amp;tDatosMaestros[[#This Row],[NO_CONTROL]]</f>
        <v>Nombre maestro 5625</v>
      </c>
      <c r="C119" s="18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18" t="str">
        <f>"Nombre maestro "&amp;tDatosMaestros[[#This Row],[NO_CONTROL]]</f>
        <v>Nombre maestro 5625</v>
      </c>
      <c r="C120" s="18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18" t="str">
        <f>"Nombre maestro "&amp;tDatosMaestros[[#This Row],[NO_CONTROL]]</f>
        <v>Nombre maestro 5625</v>
      </c>
      <c r="C121" s="18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18" t="str">
        <f>"Nombre maestro "&amp;tDatosMaestros[[#This Row],[NO_CONTROL]]</f>
        <v>Nombre maestro 5625</v>
      </c>
      <c r="C122" s="18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18" t="str">
        <f>"Nombre maestro "&amp;tDatosMaestros[[#This Row],[NO_CONTROL]]</f>
        <v>Nombre maestro 5625</v>
      </c>
      <c r="C123" s="18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18" t="str">
        <f>"Nombre maestro "&amp;tDatosMaestros[[#This Row],[NO_CONTROL]]</f>
        <v>Nombre maestro 5691</v>
      </c>
      <c r="C124" s="18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18" t="str">
        <f>"Nombre maestro "&amp;tDatosMaestros[[#This Row],[NO_CONTROL]]</f>
        <v>Nombre maestro 5691</v>
      </c>
      <c r="C125" s="18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18" t="str">
        <f>"Nombre maestro "&amp;tDatosMaestros[[#This Row],[NO_CONTROL]]</f>
        <v>Nombre maestro 5691</v>
      </c>
      <c r="C126" s="18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18" t="str">
        <f>"Nombre maestro "&amp;tDatosMaestros[[#This Row],[NO_CONTROL]]</f>
        <v>Nombre maestro 6024</v>
      </c>
      <c r="C127" s="18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18" t="str">
        <f>"Nombre maestro "&amp;tDatosMaestros[[#This Row],[NO_CONTROL]]</f>
        <v>Nombre maestro 6024</v>
      </c>
      <c r="C128" s="18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18" t="str">
        <f>"Nombre maestro "&amp;tDatosMaestros[[#This Row],[NO_CONTROL]]</f>
        <v>Nombre maestro 6024</v>
      </c>
      <c r="C129" s="18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18" t="str">
        <f>"Nombre maestro "&amp;tDatosMaestros[[#This Row],[NO_CONTROL]]</f>
        <v>Nombre maestro 6024</v>
      </c>
      <c r="C130" s="18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18" t="str">
        <f>"Nombre maestro "&amp;tDatosMaestros[[#This Row],[NO_CONTROL]]</f>
        <v>Nombre maestro 6030</v>
      </c>
      <c r="C131" s="18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18" t="str">
        <f>"Nombre maestro "&amp;tDatosMaestros[[#This Row],[NO_CONTROL]]</f>
        <v>Nombre maestro 6030</v>
      </c>
      <c r="C132" s="18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18" t="str">
        <f>"Nombre maestro "&amp;tDatosMaestros[[#This Row],[NO_CONTROL]]</f>
        <v>Nombre maestro 6030</v>
      </c>
      <c r="C133" s="18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18" t="str">
        <f>"Nombre maestro "&amp;tDatosMaestros[[#This Row],[NO_CONTROL]]</f>
        <v>Nombre maestro 6030</v>
      </c>
      <c r="C134" s="19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18" t="str">
        <f>"Nombre maestro "&amp;tDatosMaestros[[#This Row],[NO_CONTROL]]</f>
        <v>Nombre maestro 6030</v>
      </c>
      <c r="C135" s="18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18" t="str">
        <f>"Nombre maestro "&amp;tDatosMaestros[[#This Row],[NO_CONTROL]]</f>
        <v>Nombre maestro 6130</v>
      </c>
      <c r="C136" s="18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18" t="str">
        <f>"Nombre maestro "&amp;tDatosMaestros[[#This Row],[NO_CONTROL]]</f>
        <v>Nombre maestro 6130</v>
      </c>
      <c r="C137" s="18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18" t="str">
        <f>"Nombre maestro "&amp;tDatosMaestros[[#This Row],[NO_CONTROL]]</f>
        <v>Nombre maestro 6130</v>
      </c>
      <c r="C138" s="18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18" t="str">
        <f>"Nombre maestro "&amp;tDatosMaestros[[#This Row],[NO_CONTROL]]</f>
        <v>Nombre maestro 6327</v>
      </c>
      <c r="C139" s="18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18" t="str">
        <f>"Nombre maestro "&amp;tDatosMaestros[[#This Row],[NO_CONTROL]]</f>
        <v>Nombre maestro 6327</v>
      </c>
      <c r="C140" s="18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18" t="str">
        <f>"Nombre maestro "&amp;tDatosMaestros[[#This Row],[NO_CONTROL]]</f>
        <v>Nombre maestro 6327</v>
      </c>
      <c r="C141" s="18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18" t="str">
        <f>"Nombre maestro "&amp;tDatosMaestros[[#This Row],[NO_CONTROL]]</f>
        <v>Nombre maestro 6327</v>
      </c>
      <c r="C142" s="18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18" t="str">
        <f>"Nombre maestro "&amp;tDatosMaestros[[#This Row],[NO_CONTROL]]</f>
        <v>Nombre maestro 6327</v>
      </c>
      <c r="C143" s="18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</row>
    <row r="144" spans="1:15" x14ac:dyDescent="0.25">
      <c r="A144" s="1">
        <v>6610</v>
      </c>
      <c r="B144" s="18" t="str">
        <f>"Nombre maestro "&amp;tDatosMaestros[[#This Row],[NO_CONTROL]]</f>
        <v>Nombre maestro 6610</v>
      </c>
      <c r="C144" s="18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18" t="str">
        <f>"Nombre maestro "&amp;tDatosMaestros[[#This Row],[NO_CONTROL]]</f>
        <v>Nombre maestro 6610</v>
      </c>
      <c r="C145" s="18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18" t="str">
        <f>"Nombre maestro "&amp;tDatosMaestros[[#This Row],[NO_CONTROL]]</f>
        <v>Nombre maestro 6610</v>
      </c>
      <c r="C146" s="18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18" t="str">
        <f>"Nombre maestro "&amp;tDatosMaestros[[#This Row],[NO_CONTROL]]</f>
        <v>Nombre maestro 6610</v>
      </c>
      <c r="C147" s="18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18" t="str">
        <f>"Nombre maestro "&amp;tDatosMaestros[[#This Row],[NO_CONTROL]]</f>
        <v>Nombre maestro 6610</v>
      </c>
      <c r="C148" s="18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18" t="str">
        <f>"Nombre maestro "&amp;tDatosMaestros[[#This Row],[NO_CONTROL]]</f>
        <v>Nombre maestro 6610</v>
      </c>
      <c r="C149" s="18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18" t="str">
        <f>"Nombre maestro "&amp;tDatosMaestros[[#This Row],[NO_CONTROL]]</f>
        <v>Nombre maestro 6610</v>
      </c>
      <c r="C150" s="18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18" t="str">
        <f>"Nombre maestro "&amp;tDatosMaestros[[#This Row],[NO_CONTROL]]</f>
        <v>Nombre maestro 6783</v>
      </c>
      <c r="C151" s="18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18" t="str">
        <f>"Nombre maestro "&amp;tDatosMaestros[[#This Row],[NO_CONTROL]]</f>
        <v>Nombre maestro 6783</v>
      </c>
      <c r="C152" s="18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18" t="str">
        <f>"Nombre maestro "&amp;tDatosMaestros[[#This Row],[NO_CONTROL]]</f>
        <v>Nombre maestro 6783</v>
      </c>
      <c r="C153" s="18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18" t="str">
        <f>"Nombre maestro "&amp;tDatosMaestros[[#This Row],[NO_CONTROL]]</f>
        <v>Nombre maestro 6783</v>
      </c>
      <c r="C154" s="18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18" t="str">
        <f>"Nombre maestro "&amp;tDatosMaestros[[#This Row],[NO_CONTROL]]</f>
        <v>Nombre maestro 6783</v>
      </c>
      <c r="C155" s="18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18" t="str">
        <f>"Nombre maestro "&amp;tDatosMaestros[[#This Row],[NO_CONTROL]]</f>
        <v>Nombre maestro 6784</v>
      </c>
      <c r="C156" s="18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18" t="str">
        <f>"Nombre maestro "&amp;tDatosMaestros[[#This Row],[NO_CONTROL]]</f>
        <v>Nombre maestro 6784</v>
      </c>
      <c r="C157" s="18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20" t="str">
        <f>"Nombre maestro "&amp;tDatosMaestros[[#This Row],[NO_CONTROL]]</f>
        <v>Nombre maestro 7146</v>
      </c>
      <c r="C158" s="20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18" t="str">
        <f>"Nombre maestro "&amp;tDatosMaestros[[#This Row],[NO_CONTROL]]</f>
        <v>Nombre maestro 7457</v>
      </c>
      <c r="C159" s="18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18" t="str">
        <f>"Nombre maestro "&amp;tDatosMaestros[[#This Row],[NO_CONTROL]]</f>
        <v>Nombre maestro 7457</v>
      </c>
      <c r="C160" s="18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18" t="str">
        <f>"Nombre maestro "&amp;tDatosMaestros[[#This Row],[NO_CONTROL]]</f>
        <v>Nombre maestro 7542</v>
      </c>
      <c r="C161" s="18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18" t="str">
        <f>"Nombre maestro "&amp;tDatosMaestros[[#This Row],[NO_CONTROL]]</f>
        <v>Nombre maestro 7542</v>
      </c>
      <c r="C162" s="18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18" t="str">
        <f>"Nombre maestro "&amp;tDatosMaestros[[#This Row],[NO_CONTROL]]</f>
        <v>Nombre maestro LGRA</v>
      </c>
      <c r="C163" s="1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B12" sqref="B12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1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17" t="s">
        <v>170</v>
      </c>
      <c r="H4" t="s">
        <v>160</v>
      </c>
    </row>
    <row r="5" spans="1:8" x14ac:dyDescent="0.25">
      <c r="A5" s="18" t="s">
        <v>62</v>
      </c>
      <c r="B5">
        <v>2</v>
      </c>
      <c r="C5" t="s">
        <v>147</v>
      </c>
      <c r="G5" s="1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1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1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Normal="100" workbookViewId="0">
      <selection activeCell="C18" sqref="C18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50" t="s">
        <v>75</v>
      </c>
      <c r="B1" s="50"/>
      <c r="C1" s="50"/>
      <c r="D1" s="50"/>
      <c r="E1" s="50"/>
      <c r="F1" s="50"/>
    </row>
    <row r="2" spans="1:6" ht="26.25" customHeight="1" thickBot="1" x14ac:dyDescent="0.3">
      <c r="A2" s="51" t="s">
        <v>76</v>
      </c>
      <c r="B2" s="51"/>
      <c r="C2" s="51"/>
      <c r="D2" s="51"/>
      <c r="E2" s="51"/>
      <c r="F2" s="51"/>
    </row>
    <row r="3" spans="1:6" ht="26.25" customHeight="1" thickTop="1" thickBot="1" x14ac:dyDescent="0.3">
      <c r="A3" s="52" t="s">
        <v>91</v>
      </c>
      <c r="B3" s="52"/>
      <c r="C3" s="52"/>
      <c r="D3" s="52"/>
      <c r="E3" s="52"/>
      <c r="F3" s="52"/>
    </row>
    <row r="4" spans="1:6" ht="16.5" thickTop="1" thickBot="1" x14ac:dyDescent="0.3"/>
    <row r="5" spans="1:6" x14ac:dyDescent="0.25">
      <c r="A5" s="33" t="s">
        <v>77</v>
      </c>
      <c r="B5" s="34" t="s">
        <v>78</v>
      </c>
      <c r="C5" s="34" t="s">
        <v>79</v>
      </c>
      <c r="D5" s="34" t="s">
        <v>80</v>
      </c>
      <c r="E5" s="34" t="s">
        <v>81</v>
      </c>
      <c r="F5" s="35" t="s">
        <v>82</v>
      </c>
    </row>
    <row r="6" spans="1:6" x14ac:dyDescent="0.25">
      <c r="A6" s="36"/>
      <c r="B6" s="41"/>
      <c r="C6" s="41"/>
      <c r="D6" s="41"/>
      <c r="E6" s="41"/>
      <c r="F6" s="42"/>
    </row>
    <row r="7" spans="1:6" x14ac:dyDescent="0.25">
      <c r="A7" s="37" t="s">
        <v>95</v>
      </c>
      <c r="B7" s="43"/>
      <c r="C7" s="43"/>
      <c r="D7" s="43"/>
      <c r="E7" s="43"/>
      <c r="F7" s="44"/>
    </row>
    <row r="8" spans="1:6" x14ac:dyDescent="0.25">
      <c r="A8" s="38"/>
      <c r="B8" s="45"/>
      <c r="C8" s="45"/>
      <c r="D8" s="45"/>
      <c r="E8" s="45"/>
      <c r="F8" s="46"/>
    </row>
    <row r="9" spans="1:6" x14ac:dyDescent="0.25">
      <c r="A9" s="37"/>
      <c r="B9" s="43"/>
      <c r="C9" s="43"/>
      <c r="D9" s="43"/>
      <c r="E9" s="43"/>
      <c r="F9" s="44"/>
    </row>
    <row r="10" spans="1:6" x14ac:dyDescent="0.25">
      <c r="A10" s="37" t="s">
        <v>83</v>
      </c>
      <c r="B10" s="43"/>
      <c r="C10" s="47"/>
      <c r="D10" s="43"/>
      <c r="E10" s="43"/>
      <c r="F10" s="44"/>
    </row>
    <row r="11" spans="1:6" x14ac:dyDescent="0.25">
      <c r="A11" s="37"/>
      <c r="B11" s="43"/>
      <c r="C11" s="43"/>
      <c r="D11" s="43"/>
      <c r="E11" s="43"/>
      <c r="F11" s="44"/>
    </row>
    <row r="12" spans="1:6" x14ac:dyDescent="0.25">
      <c r="A12" s="39"/>
      <c r="B12" s="41"/>
      <c r="C12" s="41"/>
      <c r="D12" s="41"/>
      <c r="E12" s="41"/>
      <c r="F12" s="42"/>
    </row>
    <row r="13" spans="1:6" x14ac:dyDescent="0.25">
      <c r="A13" s="37" t="s">
        <v>84</v>
      </c>
      <c r="B13" s="43"/>
      <c r="C13" s="43"/>
      <c r="D13" s="43"/>
      <c r="E13" s="43"/>
      <c r="F13" s="44"/>
    </row>
    <row r="14" spans="1:6" x14ac:dyDescent="0.25">
      <c r="A14" s="38"/>
      <c r="B14" s="45"/>
      <c r="C14" s="45"/>
      <c r="D14" s="45"/>
      <c r="E14" s="45"/>
      <c r="F14" s="46"/>
    </row>
    <row r="15" spans="1:6" x14ac:dyDescent="0.25">
      <c r="A15" s="39"/>
      <c r="B15" s="41"/>
      <c r="C15" s="41"/>
      <c r="D15" s="41"/>
      <c r="E15" s="41"/>
      <c r="F15" s="42"/>
    </row>
    <row r="16" spans="1:6" x14ac:dyDescent="0.25">
      <c r="A16" s="37" t="s">
        <v>85</v>
      </c>
      <c r="B16" s="43"/>
      <c r="C16" s="43"/>
      <c r="D16" s="43"/>
      <c r="E16" s="43"/>
      <c r="F16" s="44"/>
    </row>
    <row r="17" spans="1:6" x14ac:dyDescent="0.25">
      <c r="A17" s="38"/>
      <c r="B17" s="45"/>
      <c r="C17" s="45"/>
      <c r="D17" s="45"/>
      <c r="E17" s="45"/>
      <c r="F17" s="46"/>
    </row>
    <row r="18" spans="1:6" x14ac:dyDescent="0.25">
      <c r="A18" s="39"/>
      <c r="B18" s="41"/>
      <c r="C18" s="41"/>
      <c r="D18" s="41"/>
      <c r="E18" s="41"/>
      <c r="F18" s="42"/>
    </row>
    <row r="19" spans="1:6" x14ac:dyDescent="0.25">
      <c r="A19" s="37" t="s">
        <v>86</v>
      </c>
      <c r="B19" s="43"/>
      <c r="C19" s="43"/>
      <c r="D19" s="43"/>
      <c r="E19" s="43"/>
      <c r="F19" s="44"/>
    </row>
    <row r="20" spans="1:6" x14ac:dyDescent="0.25">
      <c r="A20" s="38"/>
      <c r="B20" s="45"/>
      <c r="C20" s="45"/>
      <c r="D20" s="45"/>
      <c r="E20" s="45"/>
      <c r="F20" s="46"/>
    </row>
    <row r="21" spans="1:6" x14ac:dyDescent="0.25">
      <c r="A21" s="39"/>
      <c r="B21" s="41"/>
      <c r="C21" s="41"/>
      <c r="D21" s="41"/>
      <c r="E21" s="41"/>
      <c r="F21" s="42"/>
    </row>
    <row r="22" spans="1:6" x14ac:dyDescent="0.25">
      <c r="A22" s="37" t="s">
        <v>87</v>
      </c>
      <c r="B22" s="43"/>
      <c r="C22" s="43"/>
      <c r="D22" s="43"/>
      <c r="E22" s="43"/>
      <c r="F22" s="44"/>
    </row>
    <row r="23" spans="1:6" x14ac:dyDescent="0.25">
      <c r="A23" s="38"/>
      <c r="B23" s="45"/>
      <c r="C23" s="45"/>
      <c r="D23" s="45"/>
      <c r="E23" s="45"/>
      <c r="F23" s="46"/>
    </row>
    <row r="24" spans="1:6" x14ac:dyDescent="0.25">
      <c r="A24" s="39"/>
      <c r="B24" s="41"/>
      <c r="C24" s="41"/>
      <c r="D24" s="41"/>
      <c r="E24" s="41"/>
      <c r="F24" s="42"/>
    </row>
    <row r="25" spans="1:6" x14ac:dyDescent="0.25">
      <c r="A25" s="37" t="s">
        <v>88</v>
      </c>
      <c r="B25" s="43"/>
      <c r="C25" s="43"/>
      <c r="D25" s="43"/>
      <c r="E25" s="43"/>
      <c r="F25" s="44"/>
    </row>
    <row r="26" spans="1:6" x14ac:dyDescent="0.25">
      <c r="A26" s="38"/>
      <c r="B26" s="45"/>
      <c r="C26" s="45"/>
      <c r="D26" s="45"/>
      <c r="E26" s="45"/>
      <c r="F26" s="46"/>
    </row>
    <row r="27" spans="1:6" x14ac:dyDescent="0.25">
      <c r="A27" s="39"/>
      <c r="B27" s="41"/>
      <c r="C27" s="41"/>
      <c r="D27" s="41"/>
      <c r="E27" s="41"/>
      <c r="F27" s="42"/>
    </row>
    <row r="28" spans="1:6" x14ac:dyDescent="0.25">
      <c r="A28" s="37" t="s">
        <v>89</v>
      </c>
      <c r="B28" s="43"/>
      <c r="C28" s="43"/>
      <c r="D28" s="43"/>
      <c r="E28" s="43"/>
      <c r="F28" s="44"/>
    </row>
    <row r="29" spans="1:6" x14ac:dyDescent="0.25">
      <c r="A29" s="38"/>
      <c r="B29" s="45"/>
      <c r="C29" s="45"/>
      <c r="D29" s="45"/>
      <c r="E29" s="45"/>
      <c r="F29" s="46"/>
    </row>
    <row r="30" spans="1:6" x14ac:dyDescent="0.25">
      <c r="A30" s="37"/>
      <c r="B30" s="43"/>
      <c r="C30" s="43"/>
      <c r="D30" s="43"/>
      <c r="E30" s="43"/>
      <c r="F30" s="44"/>
    </row>
    <row r="31" spans="1:6" x14ac:dyDescent="0.25">
      <c r="A31" s="37" t="s">
        <v>90</v>
      </c>
      <c r="B31" s="43"/>
      <c r="C31" s="43"/>
      <c r="D31" s="43"/>
      <c r="E31" s="43"/>
      <c r="F31" s="44"/>
    </row>
    <row r="32" spans="1:6" ht="15.75" thickBot="1" x14ac:dyDescent="0.3">
      <c r="A32" s="40"/>
      <c r="B32" s="48"/>
      <c r="C32" s="48"/>
      <c r="D32" s="48"/>
      <c r="E32" s="48"/>
      <c r="F32" s="49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C12" sqref="C12"/>
    </sheetView>
  </sheetViews>
  <sheetFormatPr baseColWidth="10" defaultRowHeight="15" x14ac:dyDescent="0.25"/>
  <cols>
    <col min="1" max="1" width="34.7109375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4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16" t="s">
        <v>82</v>
      </c>
    </row>
    <row r="6" spans="1:6" x14ac:dyDescent="0.25">
      <c r="A6" s="15"/>
      <c r="B6" s="27"/>
      <c r="C6" s="27"/>
      <c r="D6" s="27"/>
      <c r="E6" s="27"/>
      <c r="F6" s="28"/>
    </row>
    <row r="7" spans="1:6" x14ac:dyDescent="0.25">
      <c r="A7" s="12" t="s">
        <v>95</v>
      </c>
      <c r="B7" s="29" t="s">
        <v>97</v>
      </c>
      <c r="C7" s="29" t="s">
        <v>97</v>
      </c>
      <c r="D7" s="29" t="s">
        <v>97</v>
      </c>
      <c r="E7" s="29" t="s">
        <v>97</v>
      </c>
      <c r="F7" s="30" t="s">
        <v>97</v>
      </c>
    </row>
    <row r="8" spans="1:6" x14ac:dyDescent="0.25">
      <c r="A8" s="13"/>
      <c r="B8" s="31"/>
      <c r="C8" s="31"/>
      <c r="D8" s="31"/>
      <c r="E8" s="31"/>
      <c r="F8" s="32"/>
    </row>
    <row r="9" spans="1:6" x14ac:dyDescent="0.25">
      <c r="A9" s="12"/>
      <c r="B9" s="29"/>
      <c r="C9" s="29"/>
      <c r="D9" s="29"/>
      <c r="E9" s="29"/>
      <c r="F9" s="30"/>
    </row>
    <row r="10" spans="1:6" x14ac:dyDescent="0.25">
      <c r="A10" s="12" t="s">
        <v>83</v>
      </c>
      <c r="B10" s="29" t="s">
        <v>97</v>
      </c>
      <c r="C10" s="29" t="s">
        <v>97</v>
      </c>
      <c r="D10" s="29" t="s">
        <v>97</v>
      </c>
      <c r="E10" s="29" t="s">
        <v>97</v>
      </c>
      <c r="F10" s="30" t="s">
        <v>97</v>
      </c>
    </row>
    <row r="11" spans="1:6" x14ac:dyDescent="0.25">
      <c r="A11" s="12"/>
      <c r="B11" s="29"/>
      <c r="C11" s="29"/>
      <c r="D11" s="29"/>
      <c r="E11" s="29"/>
      <c r="F11" s="30"/>
    </row>
    <row r="12" spans="1:6" x14ac:dyDescent="0.25">
      <c r="A12" s="11"/>
      <c r="B12" s="27"/>
      <c r="C12" s="27"/>
      <c r="D12" s="27"/>
      <c r="E12" s="27"/>
      <c r="F12" s="28"/>
    </row>
    <row r="13" spans="1:6" x14ac:dyDescent="0.25">
      <c r="A13" s="12" t="s">
        <v>84</v>
      </c>
      <c r="B13" s="29" t="s">
        <v>97</v>
      </c>
      <c r="C13" s="29" t="s">
        <v>97</v>
      </c>
      <c r="D13" s="29" t="s">
        <v>97</v>
      </c>
      <c r="E13" s="29" t="s">
        <v>97</v>
      </c>
      <c r="F13" s="30" t="s">
        <v>97</v>
      </c>
    </row>
    <row r="14" spans="1:6" x14ac:dyDescent="0.25">
      <c r="A14" s="13"/>
      <c r="B14" s="31"/>
      <c r="C14" s="31"/>
      <c r="D14" s="31"/>
      <c r="E14" s="31"/>
      <c r="F14" s="32"/>
    </row>
    <row r="15" spans="1:6" x14ac:dyDescent="0.25">
      <c r="A15" s="11"/>
      <c r="B15" s="27"/>
      <c r="C15" s="27"/>
      <c r="D15" s="27"/>
      <c r="E15" s="27"/>
      <c r="F15" s="28"/>
    </row>
    <row r="16" spans="1:6" x14ac:dyDescent="0.25">
      <c r="A16" s="12" t="s">
        <v>85</v>
      </c>
      <c r="B16" s="29" t="s">
        <v>97</v>
      </c>
      <c r="C16" s="29" t="s">
        <v>97</v>
      </c>
      <c r="D16" s="29" t="s">
        <v>97</v>
      </c>
      <c r="E16" s="29" t="s">
        <v>97</v>
      </c>
      <c r="F16" s="30" t="s">
        <v>97</v>
      </c>
    </row>
    <row r="17" spans="1:6" x14ac:dyDescent="0.25">
      <c r="A17" s="13"/>
      <c r="B17" s="31"/>
      <c r="C17" s="31"/>
      <c r="D17" s="31"/>
      <c r="E17" s="31"/>
      <c r="F17" s="32"/>
    </row>
    <row r="18" spans="1:6" x14ac:dyDescent="0.25">
      <c r="A18" s="11"/>
      <c r="B18" s="27"/>
      <c r="C18" s="27"/>
      <c r="D18" s="27"/>
      <c r="E18" s="27"/>
      <c r="F18" s="28"/>
    </row>
    <row r="19" spans="1:6" x14ac:dyDescent="0.25">
      <c r="A19" s="12" t="s">
        <v>86</v>
      </c>
      <c r="B19" s="29"/>
      <c r="C19" s="29"/>
      <c r="D19" s="29"/>
      <c r="E19" s="29"/>
      <c r="F19" s="30"/>
    </row>
    <row r="20" spans="1:6" x14ac:dyDescent="0.25">
      <c r="A20" s="13"/>
      <c r="B20" s="31"/>
      <c r="C20" s="31"/>
      <c r="D20" s="31"/>
      <c r="E20" s="31"/>
      <c r="F20" s="32"/>
    </row>
    <row r="21" spans="1:6" x14ac:dyDescent="0.25">
      <c r="A21" s="11"/>
      <c r="B21" s="27"/>
      <c r="C21" s="27"/>
      <c r="D21" s="27"/>
      <c r="E21" s="27"/>
      <c r="F21" s="28"/>
    </row>
    <row r="22" spans="1:6" x14ac:dyDescent="0.25">
      <c r="A22" s="12" t="s">
        <v>87</v>
      </c>
      <c r="B22" s="29"/>
      <c r="C22" s="29"/>
      <c r="D22" s="29"/>
      <c r="E22" s="29"/>
      <c r="F22" s="30"/>
    </row>
    <row r="23" spans="1:6" x14ac:dyDescent="0.25">
      <c r="A23" s="13"/>
      <c r="B23" s="31"/>
      <c r="C23" s="31"/>
      <c r="D23" s="31"/>
      <c r="E23" s="31"/>
      <c r="F23" s="32"/>
    </row>
    <row r="24" spans="1:6" x14ac:dyDescent="0.25">
      <c r="A24" s="11"/>
      <c r="B24" s="27"/>
      <c r="C24" s="27"/>
      <c r="D24" s="27"/>
      <c r="E24" s="27"/>
      <c r="F24" s="28"/>
    </row>
    <row r="25" spans="1:6" x14ac:dyDescent="0.25">
      <c r="A25" s="12" t="s">
        <v>88</v>
      </c>
      <c r="B25" s="29"/>
      <c r="C25" s="29"/>
      <c r="D25" s="29"/>
      <c r="E25" s="29"/>
      <c r="F25" s="30"/>
    </row>
    <row r="26" spans="1:6" x14ac:dyDescent="0.25">
      <c r="A26" s="13"/>
      <c r="B26" s="31"/>
      <c r="C26" s="31"/>
      <c r="D26" s="31"/>
      <c r="E26" s="31"/>
      <c r="F26" s="32"/>
    </row>
    <row r="27" spans="1:6" x14ac:dyDescent="0.25">
      <c r="A27" s="11"/>
      <c r="B27" s="27"/>
      <c r="C27" s="27"/>
      <c r="D27" s="27"/>
      <c r="E27" s="27"/>
      <c r="F27" s="28"/>
    </row>
    <row r="28" spans="1:6" x14ac:dyDescent="0.25">
      <c r="A28" s="12" t="s">
        <v>89</v>
      </c>
      <c r="B28" s="29"/>
      <c r="C28" s="29"/>
      <c r="D28" s="29"/>
      <c r="E28" s="29"/>
      <c r="F28" s="30"/>
    </row>
    <row r="29" spans="1:6" x14ac:dyDescent="0.25">
      <c r="A29" s="13"/>
      <c r="B29" s="31"/>
      <c r="C29" s="31"/>
      <c r="D29" s="31"/>
      <c r="E29" s="31"/>
      <c r="F29" s="32"/>
    </row>
    <row r="30" spans="1:6" x14ac:dyDescent="0.25">
      <c r="A30" s="12"/>
      <c r="B30" s="29"/>
      <c r="C30" s="29"/>
      <c r="D30" s="29"/>
      <c r="E30" s="29"/>
      <c r="F30" s="30"/>
    </row>
    <row r="31" spans="1:6" x14ac:dyDescent="0.25">
      <c r="A31" s="12" t="s">
        <v>90</v>
      </c>
      <c r="B31" s="29"/>
      <c r="C31" s="29"/>
      <c r="D31" s="29"/>
      <c r="E31" s="29"/>
      <c r="F31" s="30"/>
    </row>
    <row r="32" spans="1:6" x14ac:dyDescent="0.25">
      <c r="A32" s="13"/>
      <c r="B32" s="31"/>
      <c r="C32" s="31"/>
      <c r="D32" s="31"/>
      <c r="E32" s="31"/>
      <c r="F32" s="32"/>
    </row>
  </sheetData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Maestros</vt:lpstr>
      <vt:lpstr>Laboratorio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2014-01-03T05:58:29Z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