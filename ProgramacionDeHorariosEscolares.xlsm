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7A2D7E96-6E34-419A-AE5F-296B3A7E7977}"/>
  <workbookPr codeName="ThisWorkbook"/>
  <bookViews>
    <workbookView xWindow="0" yWindow="0" windowWidth="19560" windowHeight="8340"/>
  </bookViews>
  <sheets>
    <sheet name="Maestros" sheetId="1" r:id="rId1"/>
    <sheet name="Plantilla_Horario" sheetId="2" r:id="rId2"/>
    <sheet name="M_3010" sheetId="4" r:id="rId3"/>
  </sheets>
  <definedNames>
    <definedName name="_xlnm._FilterDatabase" localSheetId="0" hidden="1">Maestros!$A$1:$G$192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H2" i="1" l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</calcChain>
</file>

<file path=xl/sharedStrings.xml><?xml version="1.0" encoding="utf-8"?>
<sst xmlns="http://schemas.openxmlformats.org/spreadsheetml/2006/main" count="836" uniqueCount="112">
  <si>
    <t>NO_CONTROL</t>
  </si>
  <si>
    <t>NOMBRE_PROFESOR</t>
  </si>
  <si>
    <t>ASIGNATURA</t>
  </si>
  <si>
    <t>HORAS</t>
  </si>
  <si>
    <t>GRUPO</t>
  </si>
  <si>
    <t>STATUS</t>
  </si>
  <si>
    <t>TIPO PROFESOR</t>
  </si>
  <si>
    <t>HABILIDADES PARA EL APRENDIZAJE</t>
  </si>
  <si>
    <t>1E</t>
  </si>
  <si>
    <t>ACTIVO</t>
  </si>
  <si>
    <t>HRS</t>
  </si>
  <si>
    <t>TALLER DE LECTURA Y REDACCION I</t>
  </si>
  <si>
    <t>1A</t>
  </si>
  <si>
    <t>LOGICA</t>
  </si>
  <si>
    <t>3H</t>
  </si>
  <si>
    <t>QUIMICA I</t>
  </si>
  <si>
    <t>1D</t>
  </si>
  <si>
    <t>1F</t>
  </si>
  <si>
    <t>1G</t>
  </si>
  <si>
    <t>GEOGRAFIA</t>
  </si>
  <si>
    <t>1C</t>
  </si>
  <si>
    <t>FISICA III</t>
  </si>
  <si>
    <t>5A</t>
  </si>
  <si>
    <t>PTC</t>
  </si>
  <si>
    <t>5B</t>
  </si>
  <si>
    <t>5C</t>
  </si>
  <si>
    <t>5D</t>
  </si>
  <si>
    <t>MATEMATICAS V</t>
  </si>
  <si>
    <t>5E</t>
  </si>
  <si>
    <t>5F</t>
  </si>
  <si>
    <t>LABORATORIO QUIMICA I</t>
  </si>
  <si>
    <t>1B</t>
  </si>
  <si>
    <t>LABORATORIO QUIMICA III</t>
  </si>
  <si>
    <t>3A</t>
  </si>
  <si>
    <t>3B</t>
  </si>
  <si>
    <t>3C</t>
  </si>
  <si>
    <t>3D</t>
  </si>
  <si>
    <t>LABORATORIO BIOLOGIA II</t>
  </si>
  <si>
    <t>3E</t>
  </si>
  <si>
    <t>3F</t>
  </si>
  <si>
    <t>3G</t>
  </si>
  <si>
    <t>MATEMATICAS III</t>
  </si>
  <si>
    <t>PROCESO DE DATOS I</t>
  </si>
  <si>
    <t>PROCESADOR</t>
  </si>
  <si>
    <t>LENGUAJES ALGORITMICOS</t>
  </si>
  <si>
    <t>INTRODUCCION A LAS CIENCIAS COMPUTACIONALES</t>
  </si>
  <si>
    <t>MATEMATICAS I</t>
  </si>
  <si>
    <t>1H</t>
  </si>
  <si>
    <t>INGLES I</t>
  </si>
  <si>
    <t>INTRODUCCION A LAS CIENCIAS SOCIALES</t>
  </si>
  <si>
    <t>ESTETICA</t>
  </si>
  <si>
    <t>5G</t>
  </si>
  <si>
    <t>5H</t>
  </si>
  <si>
    <t>LITERATURA MEXICANA I</t>
  </si>
  <si>
    <t>COORDINADORA ACADEMICA</t>
  </si>
  <si>
    <t>FISICA I</t>
  </si>
  <si>
    <t>DESARROLLO HUMANO</t>
  </si>
  <si>
    <t>TEC. TALLER DE ELECTRONICA I</t>
  </si>
  <si>
    <t>RADIO Y TV I</t>
  </si>
  <si>
    <t>TECNOLOGIAS TALLER DE ELECTRONICA III</t>
  </si>
  <si>
    <t>TECNOLOGIAS DE LA INFORMACION</t>
  </si>
  <si>
    <t>EDUCACION PARA LA SALUD</t>
  </si>
  <si>
    <t>TEMAS SELECTOS DE COMPUTACION</t>
  </si>
  <si>
    <t>INGLES III</t>
  </si>
  <si>
    <t>PROGRAMACION I</t>
  </si>
  <si>
    <t>PROGRAMACION V</t>
  </si>
  <si>
    <t>BASE DE DATOS I</t>
  </si>
  <si>
    <t xml:space="preserve">SISTEMAS OPERATIVOS </t>
  </si>
  <si>
    <t>BIOLOGIA II</t>
  </si>
  <si>
    <t>LABORATORIO DE QUIMICA I</t>
  </si>
  <si>
    <t>LABORATORIO DE FISICA I</t>
  </si>
  <si>
    <t>LABORATORIO DE FISICA III</t>
  </si>
  <si>
    <t>ELECTRONICA I</t>
  </si>
  <si>
    <t>PROCESADOR I</t>
  </si>
  <si>
    <t>PROBABILIDAD Y ESTADISTICA</t>
  </si>
  <si>
    <t>FILOSOFIA</t>
  </si>
  <si>
    <t>QUIMICA III</t>
  </si>
  <si>
    <t>ETIMOLOGIAS</t>
  </si>
  <si>
    <t>HISTORIA UNIVERSAL</t>
  </si>
  <si>
    <t>TALLER DE LECTURA Y REDACCION</t>
  </si>
  <si>
    <t>HOJA ELECTRONICA II</t>
  </si>
  <si>
    <t>SISTEMAS OPERATIVOS I</t>
  </si>
  <si>
    <t>ANALISIS DE SISTEMAS I</t>
  </si>
  <si>
    <t>BIOLOGIA I</t>
  </si>
  <si>
    <t>LGRA</t>
  </si>
  <si>
    <t>Módulo</t>
  </si>
  <si>
    <t>BACHILLERATO TÉCNICO # 2</t>
  </si>
  <si>
    <t>SEMESTRE AGOSTO 2012 - ENERO 2013</t>
  </si>
  <si>
    <t>HORA / DIA</t>
  </si>
  <si>
    <t>LUNES</t>
  </si>
  <si>
    <t>MARTES</t>
  </si>
  <si>
    <t>MIERCOLES</t>
  </si>
  <si>
    <t>JUEVES</t>
  </si>
  <si>
    <t>VIERNES</t>
  </si>
  <si>
    <t>1:30 - 2:10</t>
  </si>
  <si>
    <t>2:10 - 2:50</t>
  </si>
  <si>
    <t>2:50 - 3:30</t>
  </si>
  <si>
    <t>3:50 - 4:30</t>
  </si>
  <si>
    <t>4:30 - 5:10</t>
  </si>
  <si>
    <t>5:10 - 5:50</t>
  </si>
  <si>
    <t>5:50 - 6:35</t>
  </si>
  <si>
    <t>6:35 - 7:20</t>
  </si>
  <si>
    <t>[Nombre del Maestro o Grupo]</t>
  </si>
  <si>
    <t>HorasRestantes</t>
  </si>
  <si>
    <t>IDMateria</t>
  </si>
  <si>
    <t>HPA</t>
  </si>
  <si>
    <t>TLRI</t>
  </si>
  <si>
    <t>L</t>
  </si>
  <si>
    <t>QI</t>
  </si>
  <si>
    <t>12:50 - 1:30</t>
  </si>
  <si>
    <t>Hora de Inicio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</si>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</sst>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</font>
    <font>
      <b/>
      <u/>
      <sz val="16"/>
      <name val="Arial Unicode MS"/>
      <family val="2"/>
    </font>
    <font>
      <b/>
      <sz val="12"/>
      <name val="Arial Unicode MS"/>
      <family val="2"/>
    </font>
    <font>
      <b/>
      <sz val="16"/>
      <name val="Arial Unicode MS"/>
      <family val="2"/>
    </font>
    <font>
      <b/>
      <sz val="9"/>
      <name val="Arial Unicode MS"/>
      <family val="2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0" fillId="4" borderId="0" xfId="0" applyFill="1"/>
    <xf numFmtId="0" fontId="2" fillId="0" borderId="0" xfId="1" applyFont="1" applyAlignment="1">
      <alignment vertical="center"/>
    </xf>
    <xf numFmtId="0" fontId="3" fillId="0" borderId="0" xfId="1" applyFont="1" applyAlignment="1">
      <alignment vertical="center"/>
    </xf>
    <xf numFmtId="0" fontId="4" fillId="0" borderId="0" xfId="1" applyFont="1" applyBorder="1" applyAlignment="1">
      <alignment vertical="center"/>
    </xf>
    <xf numFmtId="0" fontId="5" fillId="5" borderId="1" xfId="1" applyFont="1" applyFill="1" applyBorder="1" applyAlignment="1">
      <alignment horizontal="center" vertical="center"/>
    </xf>
    <xf numFmtId="0" fontId="5" fillId="0" borderId="5" xfId="1" applyFont="1" applyFill="1" applyBorder="1" applyAlignment="1">
      <alignment horizontal="center" vertical="center"/>
    </xf>
    <xf numFmtId="0" fontId="5" fillId="0" borderId="7" xfId="1" applyFont="1" applyFill="1" applyBorder="1" applyAlignment="1">
      <alignment horizontal="center" vertical="center"/>
    </xf>
    <xf numFmtId="0" fontId="5" fillId="0" borderId="8" xfId="1" applyFont="1" applyFill="1" applyBorder="1" applyAlignment="1">
      <alignment horizontal="center" vertical="center"/>
    </xf>
    <xf numFmtId="0" fontId="0" fillId="0" borderId="2" xfId="0" applyBorder="1"/>
    <xf numFmtId="0" fontId="0" fillId="0" borderId="4" xfId="0" applyBorder="1"/>
    <xf numFmtId="0" fontId="5" fillId="5" borderId="9" xfId="1" applyFont="1" applyFill="1" applyBorder="1" applyAlignment="1">
      <alignment horizontal="center" vertical="center"/>
    </xf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5" fillId="5" borderId="12" xfId="1" applyFont="1" applyFill="1" applyBorder="1" applyAlignment="1">
      <alignment horizontal="center" vertical="center"/>
    </xf>
    <xf numFmtId="0" fontId="0" fillId="0" borderId="3" xfId="0" applyBorder="1"/>
    <xf numFmtId="0" fontId="0" fillId="0" borderId="6" xfId="0" applyBorder="1"/>
  </cellXfs>
  <cellStyles count="2">
    <cellStyle name="Normal" xfId="0" builtinId="0"/>
    <cellStyle name="Normal 2" xfId="1"/>
  </cellStyles>
  <dxfs count="8">
    <dxf>
      <numFmt numFmtId="0" formatCode="General"/>
      <fill>
        <patternFill patternType="solid">
          <fgColor indexed="64"/>
          <bgColor rgb="FF92D050"/>
        </patternFill>
      </fill>
    </dxf>
    <dxf>
      <numFmt numFmtId="0" formatCode="General"/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rgb="FF92D050"/>
        </patternFill>
      </fill>
    </dxf>
    <dxf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DatosMaestros" displayName="tDatosMaestros" ref="A1:K192" totalsRowShown="0">
  <autoFilter ref="A1:K192"/>
  <tableColumns count="11">
    <tableColumn id="1" name="NO_CONTROL" dataDxfId="7"/>
    <tableColumn id="2" name="NOMBRE_PROFESOR" dataDxfId="0">
      <calculatedColumnFormula>"Nombre maestro "&amp;tDatosMaestros[[#This Row],[NO_CONTROL]]</calculatedColumnFormula>
    </tableColumn>
    <tableColumn id="3" name="ASIGNATURA" dataDxfId="6"/>
    <tableColumn id="4" name="HORAS" dataDxfId="5"/>
    <tableColumn id="5" name="GRUPO" dataDxfId="4"/>
    <tableColumn id="6" name="STATUS" dataDxfId="3"/>
    <tableColumn id="7" name="TIPO PROFESOR" dataDxfId="2"/>
    <tableColumn id="11" name="Hora de Inicio" dataDxfId="1">
      <calculatedColumnFormula>IF(tDatosMaestros[[#This Row],[TIPO PROFESOR]]="HRS", 3,2)</calculatedColumnFormula>
    </tableColumn>
    <tableColumn id="8" name="Módulo"/>
    <tableColumn id="9" name="HorasRestantes"/>
    <tableColumn id="10" name="IDMateria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92"/>
  <sheetViews>
    <sheetView tabSelected="1" zoomScaleNormal="100" workbookViewId="0">
      <pane ySplit="1" topLeftCell="A122" activePane="bottomLeft" state="frozen"/>
      <selection pane="bottomLeft" activeCell="B139" sqref="B139"/>
    </sheetView>
  </sheetViews>
  <sheetFormatPr baseColWidth="10" defaultRowHeight="15" x14ac:dyDescent="0.25"/>
  <cols>
    <col min="1" max="1" width="15.5703125" style="1" bestFit="1" customWidth="1"/>
    <col min="2" max="2" width="39.7109375" bestFit="1" customWidth="1"/>
    <col min="3" max="3" width="47.85546875" bestFit="1" customWidth="1"/>
    <col min="4" max="4" width="11.7109375" style="1" bestFit="1" customWidth="1"/>
    <col min="5" max="5" width="11.85546875" style="1" bestFit="1" customWidth="1"/>
    <col min="6" max="6" width="9.85546875" bestFit="1" customWidth="1"/>
    <col min="7" max="7" width="27.42578125" bestFit="1" customWidth="1"/>
    <col min="8" max="8" width="15.42578125" bestFit="1" customWidth="1"/>
  </cols>
  <sheetData>
    <row r="1" spans="1:11" x14ac:dyDescent="0.25">
      <c r="A1" s="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  <c r="G1" t="s">
        <v>6</v>
      </c>
      <c r="H1" t="s">
        <v>110</v>
      </c>
      <c r="I1" t="s">
        <v>85</v>
      </c>
      <c r="J1" t="s">
        <v>103</v>
      </c>
      <c r="K1" t="s">
        <v>104</v>
      </c>
    </row>
    <row r="2" spans="1:11" x14ac:dyDescent="0.25">
      <c r="A2" s="1">
        <v>6130</v>
      </c>
      <c r="B2" t="str">
        <f>"Nombre maestro "&amp;tDatosMaestros[[#This Row],[NO_CONTROL]]</f>
        <v>Nombre maestro 6130</v>
      </c>
      <c r="C2" t="s">
        <v>7</v>
      </c>
      <c r="D2" s="1">
        <v>4</v>
      </c>
      <c r="E2" s="1" t="s">
        <v>8</v>
      </c>
      <c r="F2" t="s">
        <v>9</v>
      </c>
      <c r="G2" t="s">
        <v>10</v>
      </c>
      <c r="H2">
        <f>IF(tDatosMaestros[[#This Row],[TIPO PROFESOR]]="HRS", 3,2)</f>
        <v>3</v>
      </c>
      <c r="J2">
        <v>0</v>
      </c>
      <c r="K2" t="s">
        <v>105</v>
      </c>
    </row>
    <row r="3" spans="1:11" x14ac:dyDescent="0.25">
      <c r="A3" s="1">
        <v>6130</v>
      </c>
      <c r="B3" t="str">
        <f>"Nombre maestro "&amp;tDatosMaestros[[#This Row],[NO_CONTROL]]</f>
        <v>Nombre maestro 6130</v>
      </c>
      <c r="C3" t="s">
        <v>11</v>
      </c>
      <c r="D3" s="1">
        <v>4</v>
      </c>
      <c r="E3" s="1" t="s">
        <v>12</v>
      </c>
      <c r="F3" t="s">
        <v>9</v>
      </c>
      <c r="G3" t="s">
        <v>10</v>
      </c>
      <c r="H3">
        <f>IF(tDatosMaestros[[#This Row],[TIPO PROFESOR]]="HRS", 3,2)</f>
        <v>3</v>
      </c>
      <c r="J3">
        <v>0</v>
      </c>
      <c r="K3" t="s">
        <v>106</v>
      </c>
    </row>
    <row r="4" spans="1:11" x14ac:dyDescent="0.25">
      <c r="A4" s="1">
        <v>6130</v>
      </c>
      <c r="B4" t="str">
        <f>"Nombre maestro "&amp;tDatosMaestros[[#This Row],[NO_CONTROL]]</f>
        <v>Nombre maestro 6130</v>
      </c>
      <c r="C4" t="s">
        <v>13</v>
      </c>
      <c r="D4" s="1">
        <v>4</v>
      </c>
      <c r="E4" s="1" t="s">
        <v>14</v>
      </c>
      <c r="F4" t="s">
        <v>9</v>
      </c>
      <c r="G4" t="s">
        <v>10</v>
      </c>
      <c r="H4">
        <f>IF(tDatosMaestros[[#This Row],[TIPO PROFESOR]]="HRS", 3,2)</f>
        <v>3</v>
      </c>
      <c r="J4">
        <v>0</v>
      </c>
      <c r="K4" t="s">
        <v>107</v>
      </c>
    </row>
    <row r="5" spans="1:11" x14ac:dyDescent="0.25">
      <c r="A5" s="1">
        <v>2593</v>
      </c>
      <c r="B5" t="str">
        <f>"Nombre maestro "&amp;tDatosMaestros[[#This Row],[NO_CONTROL]]</f>
        <v>Nombre maestro 2593</v>
      </c>
      <c r="C5" t="s">
        <v>15</v>
      </c>
      <c r="D5" s="1">
        <v>5</v>
      </c>
      <c r="E5" s="1" t="s">
        <v>12</v>
      </c>
      <c r="F5" t="s">
        <v>9</v>
      </c>
      <c r="G5" t="s">
        <v>10</v>
      </c>
      <c r="H5">
        <f>IF(tDatosMaestros[[#This Row],[TIPO PROFESOR]]="HRS", 3,2)</f>
        <v>3</v>
      </c>
      <c r="J5">
        <v>0</v>
      </c>
      <c r="K5" t="s">
        <v>108</v>
      </c>
    </row>
    <row r="6" spans="1:11" x14ac:dyDescent="0.25">
      <c r="A6" s="1">
        <v>2593</v>
      </c>
      <c r="B6" t="str">
        <f>"Nombre maestro "&amp;tDatosMaestros[[#This Row],[NO_CONTROL]]</f>
        <v>Nombre maestro 2593</v>
      </c>
      <c r="C6" t="s">
        <v>15</v>
      </c>
      <c r="D6" s="1">
        <v>5</v>
      </c>
      <c r="E6" s="1" t="s">
        <v>16</v>
      </c>
      <c r="F6" t="s">
        <v>9</v>
      </c>
      <c r="G6" t="s">
        <v>10</v>
      </c>
      <c r="H6">
        <f>IF(tDatosMaestros[[#This Row],[TIPO PROFESOR]]="HRS", 3,2)</f>
        <v>3</v>
      </c>
      <c r="J6">
        <v>0</v>
      </c>
    </row>
    <row r="7" spans="1:11" x14ac:dyDescent="0.25">
      <c r="A7" s="1">
        <v>2593</v>
      </c>
      <c r="B7" t="str">
        <f>"Nombre maestro "&amp;tDatosMaestros[[#This Row],[NO_CONTROL]]</f>
        <v>Nombre maestro 2593</v>
      </c>
      <c r="C7" t="s">
        <v>15</v>
      </c>
      <c r="D7" s="1">
        <v>5</v>
      </c>
      <c r="E7" s="1" t="s">
        <v>17</v>
      </c>
      <c r="F7" t="s">
        <v>9</v>
      </c>
      <c r="G7" t="s">
        <v>10</v>
      </c>
      <c r="H7">
        <f>IF(tDatosMaestros[[#This Row],[TIPO PROFESOR]]="HRS", 3,2)</f>
        <v>3</v>
      </c>
      <c r="J7">
        <v>0</v>
      </c>
    </row>
    <row r="8" spans="1:11" x14ac:dyDescent="0.25">
      <c r="A8" s="1">
        <v>2593</v>
      </c>
      <c r="B8" t="str">
        <f>"Nombre maestro "&amp;tDatosMaestros[[#This Row],[NO_CONTROL]]</f>
        <v>Nombre maestro 2593</v>
      </c>
      <c r="C8" t="s">
        <v>15</v>
      </c>
      <c r="D8" s="1">
        <v>5</v>
      </c>
      <c r="E8" s="1" t="s">
        <v>18</v>
      </c>
      <c r="F8" t="s">
        <v>9</v>
      </c>
      <c r="G8" t="s">
        <v>10</v>
      </c>
      <c r="H8">
        <f>IF(tDatosMaestros[[#This Row],[TIPO PROFESOR]]="HRS", 3,2)</f>
        <v>3</v>
      </c>
      <c r="J8">
        <v>0</v>
      </c>
    </row>
    <row r="9" spans="1:11" x14ac:dyDescent="0.25">
      <c r="A9" s="1">
        <v>2593</v>
      </c>
      <c r="B9" t="str">
        <f>"Nombre maestro "&amp;tDatosMaestros[[#This Row],[NO_CONTROL]]</f>
        <v>Nombre maestro 2593</v>
      </c>
      <c r="C9" t="s">
        <v>19</v>
      </c>
      <c r="D9" s="1">
        <v>4</v>
      </c>
      <c r="E9" s="1" t="s">
        <v>20</v>
      </c>
      <c r="F9" t="s">
        <v>9</v>
      </c>
      <c r="G9" t="s">
        <v>10</v>
      </c>
      <c r="H9">
        <f>IF(tDatosMaestros[[#This Row],[TIPO PROFESOR]]="HRS", 3,2)</f>
        <v>3</v>
      </c>
      <c r="J9">
        <v>0</v>
      </c>
    </row>
    <row r="10" spans="1:11" x14ac:dyDescent="0.25">
      <c r="A10" s="1">
        <v>2593</v>
      </c>
      <c r="B10" t="str">
        <f>"Nombre maestro "&amp;tDatosMaestros[[#This Row],[NO_CONTROL]]</f>
        <v>Nombre maestro 2593</v>
      </c>
      <c r="C10" t="s">
        <v>19</v>
      </c>
      <c r="D10" s="1">
        <v>4</v>
      </c>
      <c r="E10" s="1" t="s">
        <v>16</v>
      </c>
      <c r="F10" t="s">
        <v>9</v>
      </c>
      <c r="G10" t="s">
        <v>10</v>
      </c>
      <c r="H10">
        <f>IF(tDatosMaestros[[#This Row],[TIPO PROFESOR]]="HRS", 3,2)</f>
        <v>3</v>
      </c>
      <c r="J10">
        <v>0</v>
      </c>
    </row>
    <row r="11" spans="1:11" x14ac:dyDescent="0.25">
      <c r="A11" s="1">
        <v>5610</v>
      </c>
      <c r="B11" t="str">
        <f>"Nombre maestro "&amp;tDatosMaestros[[#This Row],[NO_CONTROL]]</f>
        <v>Nombre maestro 5610</v>
      </c>
      <c r="C11" t="s">
        <v>41</v>
      </c>
      <c r="D11" s="1">
        <v>5</v>
      </c>
      <c r="E11" s="1" t="s">
        <v>38</v>
      </c>
      <c r="F11" t="s">
        <v>9</v>
      </c>
      <c r="G11" t="s">
        <v>10</v>
      </c>
      <c r="H11">
        <f>IF(tDatosMaestros[[#This Row],[TIPO PROFESOR]]="HRS", 3,2)</f>
        <v>3</v>
      </c>
      <c r="J11">
        <v>0</v>
      </c>
    </row>
    <row r="12" spans="1:11" x14ac:dyDescent="0.25">
      <c r="A12" s="1">
        <v>5610</v>
      </c>
      <c r="B12" t="str">
        <f>"Nombre maestro "&amp;tDatosMaestros[[#This Row],[NO_CONTROL]]</f>
        <v>Nombre maestro 5610</v>
      </c>
      <c r="C12" t="s">
        <v>41</v>
      </c>
      <c r="D12" s="1">
        <v>5</v>
      </c>
      <c r="E12" s="1" t="s">
        <v>39</v>
      </c>
      <c r="F12" t="s">
        <v>9</v>
      </c>
      <c r="G12" t="s">
        <v>10</v>
      </c>
      <c r="H12">
        <f>IF(tDatosMaestros[[#This Row],[TIPO PROFESOR]]="HRS", 3,2)</f>
        <v>3</v>
      </c>
      <c r="J12">
        <v>0</v>
      </c>
    </row>
    <row r="13" spans="1:11" x14ac:dyDescent="0.25">
      <c r="A13" s="1">
        <v>5610</v>
      </c>
      <c r="B13" t="str">
        <f>"Nombre maestro "&amp;tDatosMaestros[[#This Row],[NO_CONTROL]]</f>
        <v>Nombre maestro 5610</v>
      </c>
      <c r="C13" t="s">
        <v>41</v>
      </c>
      <c r="D13" s="1">
        <v>5</v>
      </c>
      <c r="E13" s="1" t="s">
        <v>14</v>
      </c>
      <c r="F13" t="s">
        <v>9</v>
      </c>
      <c r="G13" t="s">
        <v>10</v>
      </c>
      <c r="H13">
        <f>IF(tDatosMaestros[[#This Row],[TIPO PROFESOR]]="HRS", 3,2)</f>
        <v>3</v>
      </c>
      <c r="J13">
        <v>0</v>
      </c>
    </row>
    <row r="14" spans="1:11" x14ac:dyDescent="0.25">
      <c r="A14" s="1">
        <v>194</v>
      </c>
      <c r="B14" t="str">
        <f>"Nombre maestro "&amp;tDatosMaestros[[#This Row],[NO_CONTROL]]</f>
        <v>Nombre maestro 194</v>
      </c>
      <c r="C14" t="s">
        <v>42</v>
      </c>
      <c r="D14" s="1">
        <v>4</v>
      </c>
      <c r="E14" s="1" t="s">
        <v>35</v>
      </c>
      <c r="F14" t="s">
        <v>9</v>
      </c>
      <c r="G14" t="s">
        <v>10</v>
      </c>
      <c r="H14">
        <f>IF(tDatosMaestros[[#This Row],[TIPO PROFESOR]]="HRS", 3,2)</f>
        <v>3</v>
      </c>
      <c r="J14">
        <v>0</v>
      </c>
    </row>
    <row r="15" spans="1:11" x14ac:dyDescent="0.25">
      <c r="A15" s="1">
        <v>194</v>
      </c>
      <c r="B15" t="str">
        <f>"Nombre maestro "&amp;tDatosMaestros[[#This Row],[NO_CONTROL]]</f>
        <v>Nombre maestro 194</v>
      </c>
      <c r="C15" t="s">
        <v>43</v>
      </c>
      <c r="D15" s="1">
        <v>5</v>
      </c>
      <c r="E15" s="1" t="s">
        <v>34</v>
      </c>
      <c r="F15" t="s">
        <v>9</v>
      </c>
      <c r="G15" t="s">
        <v>10</v>
      </c>
      <c r="H15">
        <f>IF(tDatosMaestros[[#This Row],[TIPO PROFESOR]]="HRS", 3,2)</f>
        <v>3</v>
      </c>
      <c r="J15">
        <v>0</v>
      </c>
    </row>
    <row r="16" spans="1:11" x14ac:dyDescent="0.25">
      <c r="A16" s="1">
        <v>194</v>
      </c>
      <c r="B16" t="str">
        <f>"Nombre maestro "&amp;tDatosMaestros[[#This Row],[NO_CONTROL]]</f>
        <v>Nombre maestro 194</v>
      </c>
      <c r="C16" t="s">
        <v>44</v>
      </c>
      <c r="D16" s="1">
        <v>4</v>
      </c>
      <c r="E16" s="1" t="s">
        <v>35</v>
      </c>
      <c r="F16" t="s">
        <v>9</v>
      </c>
      <c r="G16" t="s">
        <v>10</v>
      </c>
      <c r="H16">
        <f>IF(tDatosMaestros[[#This Row],[TIPO PROFESOR]]="HRS", 3,2)</f>
        <v>3</v>
      </c>
      <c r="J16">
        <v>0</v>
      </c>
    </row>
    <row r="17" spans="1:10" x14ac:dyDescent="0.25">
      <c r="A17" s="1">
        <v>194</v>
      </c>
      <c r="B17" t="str">
        <f>"Nombre maestro "&amp;tDatosMaestros[[#This Row],[NO_CONTROL]]</f>
        <v>Nombre maestro 194</v>
      </c>
      <c r="C17" t="s">
        <v>45</v>
      </c>
      <c r="D17" s="1">
        <v>4</v>
      </c>
      <c r="E17" s="1" t="s">
        <v>36</v>
      </c>
      <c r="F17" t="s">
        <v>9</v>
      </c>
      <c r="G17" t="s">
        <v>10</v>
      </c>
      <c r="H17">
        <f>IF(tDatosMaestros[[#This Row],[TIPO PROFESOR]]="HRS", 3,2)</f>
        <v>3</v>
      </c>
      <c r="J17">
        <v>0</v>
      </c>
    </row>
    <row r="18" spans="1:10" x14ac:dyDescent="0.25">
      <c r="A18" s="1">
        <v>347</v>
      </c>
      <c r="B18" t="str">
        <f>"Nombre maestro "&amp;tDatosMaestros[[#This Row],[NO_CONTROL]]</f>
        <v>Nombre maestro 347</v>
      </c>
      <c r="C18" t="s">
        <v>41</v>
      </c>
      <c r="D18" s="1">
        <v>5</v>
      </c>
      <c r="E18" s="1" t="s">
        <v>33</v>
      </c>
      <c r="F18" t="s">
        <v>9</v>
      </c>
      <c r="G18" t="s">
        <v>10</v>
      </c>
      <c r="H18">
        <f>IF(tDatosMaestros[[#This Row],[TIPO PROFESOR]]="HRS", 3,2)</f>
        <v>3</v>
      </c>
      <c r="J18">
        <v>0</v>
      </c>
    </row>
    <row r="19" spans="1:10" x14ac:dyDescent="0.25">
      <c r="A19" s="1">
        <v>347</v>
      </c>
      <c r="B19" t="str">
        <f>"Nombre maestro "&amp;tDatosMaestros[[#This Row],[NO_CONTROL]]</f>
        <v>Nombre maestro 347</v>
      </c>
      <c r="C19" t="s">
        <v>41</v>
      </c>
      <c r="D19" s="1">
        <v>5</v>
      </c>
      <c r="E19" s="1" t="s">
        <v>34</v>
      </c>
      <c r="F19" t="s">
        <v>9</v>
      </c>
      <c r="G19" t="s">
        <v>10</v>
      </c>
      <c r="H19">
        <f>IF(tDatosMaestros[[#This Row],[TIPO PROFESOR]]="HRS", 3,2)</f>
        <v>3</v>
      </c>
      <c r="J19">
        <v>0</v>
      </c>
    </row>
    <row r="20" spans="1:10" x14ac:dyDescent="0.25">
      <c r="A20" s="1">
        <v>347</v>
      </c>
      <c r="B20" t="str">
        <f>"Nombre maestro "&amp;tDatosMaestros[[#This Row],[NO_CONTROL]]</f>
        <v>Nombre maestro 347</v>
      </c>
      <c r="C20" t="s">
        <v>41</v>
      </c>
      <c r="D20" s="1">
        <v>5</v>
      </c>
      <c r="E20" s="1" t="s">
        <v>35</v>
      </c>
      <c r="F20" t="s">
        <v>9</v>
      </c>
      <c r="G20" t="s">
        <v>10</v>
      </c>
      <c r="H20">
        <f>IF(tDatosMaestros[[#This Row],[TIPO PROFESOR]]="HRS", 3,2)</f>
        <v>3</v>
      </c>
      <c r="J20">
        <v>0</v>
      </c>
    </row>
    <row r="21" spans="1:10" x14ac:dyDescent="0.25">
      <c r="A21" s="1">
        <v>347</v>
      </c>
      <c r="B21" t="str">
        <f>"Nombre maestro "&amp;tDatosMaestros[[#This Row],[NO_CONTROL]]</f>
        <v>Nombre maestro 347</v>
      </c>
      <c r="C21" t="s">
        <v>41</v>
      </c>
      <c r="D21" s="1">
        <v>5</v>
      </c>
      <c r="E21" s="1" t="s">
        <v>36</v>
      </c>
      <c r="F21" t="s">
        <v>9</v>
      </c>
      <c r="G21" t="s">
        <v>10</v>
      </c>
      <c r="H21">
        <f>IF(tDatosMaestros[[#This Row],[TIPO PROFESOR]]="HRS", 3,2)</f>
        <v>3</v>
      </c>
      <c r="J21">
        <v>0</v>
      </c>
    </row>
    <row r="22" spans="1:10" x14ac:dyDescent="0.25">
      <c r="A22" s="1">
        <v>6784</v>
      </c>
      <c r="B22" t="str">
        <f>"Nombre maestro "&amp;tDatosMaestros[[#This Row],[NO_CONTROL]]</f>
        <v>Nombre maestro 6784</v>
      </c>
      <c r="C22" t="s">
        <v>46</v>
      </c>
      <c r="D22" s="1">
        <v>5</v>
      </c>
      <c r="E22" s="1" t="s">
        <v>18</v>
      </c>
      <c r="F22" t="s">
        <v>9</v>
      </c>
      <c r="G22" t="s">
        <v>10</v>
      </c>
      <c r="H22">
        <f>IF(tDatosMaestros[[#This Row],[TIPO PROFESOR]]="HRS", 3,2)</f>
        <v>3</v>
      </c>
      <c r="J22">
        <v>0</v>
      </c>
    </row>
    <row r="23" spans="1:10" x14ac:dyDescent="0.25">
      <c r="A23" s="1">
        <v>6784</v>
      </c>
      <c r="B23" t="str">
        <f>"Nombre maestro "&amp;tDatosMaestros[[#This Row],[NO_CONTROL]]</f>
        <v>Nombre maestro 6784</v>
      </c>
      <c r="C23" t="s">
        <v>46</v>
      </c>
      <c r="D23" s="1">
        <v>5</v>
      </c>
      <c r="E23" s="1" t="s">
        <v>47</v>
      </c>
      <c r="F23" t="s">
        <v>9</v>
      </c>
      <c r="G23" t="s">
        <v>10</v>
      </c>
      <c r="H23">
        <f>IF(tDatosMaestros[[#This Row],[TIPO PROFESOR]]="HRS", 3,2)</f>
        <v>3</v>
      </c>
      <c r="J23">
        <v>0</v>
      </c>
    </row>
    <row r="24" spans="1:10" x14ac:dyDescent="0.25">
      <c r="A24" s="1">
        <v>4732</v>
      </c>
      <c r="B24" t="str">
        <f>"Nombre maestro "&amp;tDatosMaestros[[#This Row],[NO_CONTROL]]</f>
        <v>Nombre maestro 4732</v>
      </c>
      <c r="C24" t="s">
        <v>48</v>
      </c>
      <c r="D24" s="1">
        <v>4</v>
      </c>
      <c r="E24" s="1" t="s">
        <v>22</v>
      </c>
      <c r="F24" t="s">
        <v>9</v>
      </c>
      <c r="G24" t="s">
        <v>10</v>
      </c>
      <c r="H24">
        <f>IF(tDatosMaestros[[#This Row],[TIPO PROFESOR]]="HRS", 3,2)</f>
        <v>3</v>
      </c>
      <c r="J24">
        <v>0</v>
      </c>
    </row>
    <row r="25" spans="1:10" x14ac:dyDescent="0.25">
      <c r="A25" s="1">
        <v>4732</v>
      </c>
      <c r="B25" t="str">
        <f>"Nombre maestro "&amp;tDatosMaestros[[#This Row],[NO_CONTROL]]</f>
        <v>Nombre maestro 4732</v>
      </c>
      <c r="C25" t="s">
        <v>48</v>
      </c>
      <c r="D25" s="1">
        <v>4</v>
      </c>
      <c r="E25" s="1" t="s">
        <v>25</v>
      </c>
      <c r="F25" t="s">
        <v>9</v>
      </c>
      <c r="G25" t="s">
        <v>10</v>
      </c>
      <c r="H25">
        <f>IF(tDatosMaestros[[#This Row],[TIPO PROFESOR]]="HRS", 3,2)</f>
        <v>3</v>
      </c>
      <c r="J25">
        <v>0</v>
      </c>
    </row>
    <row r="26" spans="1:10" x14ac:dyDescent="0.25">
      <c r="A26" s="1">
        <v>4732</v>
      </c>
      <c r="B26" t="str">
        <f>"Nombre maestro "&amp;tDatosMaestros[[#This Row],[NO_CONTROL]]</f>
        <v>Nombre maestro 4732</v>
      </c>
      <c r="C26" t="s">
        <v>48</v>
      </c>
      <c r="D26" s="1">
        <v>4</v>
      </c>
      <c r="E26" s="1" t="s">
        <v>28</v>
      </c>
      <c r="F26" t="s">
        <v>9</v>
      </c>
      <c r="G26" t="s">
        <v>10</v>
      </c>
      <c r="H26">
        <f>IF(tDatosMaestros[[#This Row],[TIPO PROFESOR]]="HRS", 3,2)</f>
        <v>3</v>
      </c>
      <c r="J26">
        <v>0</v>
      </c>
    </row>
    <row r="27" spans="1:10" x14ac:dyDescent="0.25">
      <c r="A27" s="1">
        <v>439</v>
      </c>
      <c r="B27" t="str">
        <f>"Nombre maestro "&amp;tDatosMaestros[[#This Row],[NO_CONTROL]]</f>
        <v>Nombre maestro 439</v>
      </c>
      <c r="C27" t="s">
        <v>49</v>
      </c>
      <c r="D27" s="1">
        <v>4</v>
      </c>
      <c r="E27" s="1" t="s">
        <v>31</v>
      </c>
      <c r="F27" t="s">
        <v>9</v>
      </c>
      <c r="G27" t="s">
        <v>10</v>
      </c>
      <c r="H27">
        <f>IF(tDatosMaestros[[#This Row],[TIPO PROFESOR]]="HRS", 3,2)</f>
        <v>3</v>
      </c>
      <c r="J27">
        <v>0</v>
      </c>
    </row>
    <row r="28" spans="1:10" x14ac:dyDescent="0.25">
      <c r="A28" s="1">
        <v>4431</v>
      </c>
      <c r="B28" t="str">
        <f>"Nombre maestro "&amp;tDatosMaestros[[#This Row],[NO_CONTROL]]</f>
        <v>Nombre maestro 4431</v>
      </c>
      <c r="C28" t="s">
        <v>50</v>
      </c>
      <c r="D28" s="1">
        <v>4</v>
      </c>
      <c r="E28" s="1" t="s">
        <v>28</v>
      </c>
      <c r="F28" t="s">
        <v>9</v>
      </c>
      <c r="G28" t="s">
        <v>10</v>
      </c>
      <c r="H28">
        <f>IF(tDatosMaestros[[#This Row],[TIPO PROFESOR]]="HRS", 3,2)</f>
        <v>3</v>
      </c>
      <c r="J28">
        <v>0</v>
      </c>
    </row>
    <row r="29" spans="1:10" x14ac:dyDescent="0.25">
      <c r="A29" s="1">
        <v>4431</v>
      </c>
      <c r="B29" t="str">
        <f>"Nombre maestro "&amp;tDatosMaestros[[#This Row],[NO_CONTROL]]</f>
        <v>Nombre maestro 4431</v>
      </c>
      <c r="C29" t="s">
        <v>50</v>
      </c>
      <c r="D29" s="1">
        <v>4</v>
      </c>
      <c r="E29" s="1" t="s">
        <v>29</v>
      </c>
      <c r="F29" t="s">
        <v>9</v>
      </c>
      <c r="G29" t="s">
        <v>10</v>
      </c>
      <c r="H29">
        <f>IF(tDatosMaestros[[#This Row],[TIPO PROFESOR]]="HRS", 3,2)</f>
        <v>3</v>
      </c>
      <c r="J29">
        <v>0</v>
      </c>
    </row>
    <row r="30" spans="1:10" x14ac:dyDescent="0.25">
      <c r="A30" s="1">
        <v>4431</v>
      </c>
      <c r="B30" t="str">
        <f>"Nombre maestro "&amp;tDatosMaestros[[#This Row],[NO_CONTROL]]</f>
        <v>Nombre maestro 4431</v>
      </c>
      <c r="C30" t="s">
        <v>50</v>
      </c>
      <c r="D30" s="1">
        <v>4</v>
      </c>
      <c r="E30" s="1" t="s">
        <v>51</v>
      </c>
      <c r="F30" t="s">
        <v>9</v>
      </c>
      <c r="G30" t="s">
        <v>10</v>
      </c>
      <c r="H30">
        <f>IF(tDatosMaestros[[#This Row],[TIPO PROFESOR]]="HRS", 3,2)</f>
        <v>3</v>
      </c>
      <c r="J30">
        <v>0</v>
      </c>
    </row>
    <row r="31" spans="1:10" x14ac:dyDescent="0.25">
      <c r="A31" s="1">
        <v>4431</v>
      </c>
      <c r="B31" t="str">
        <f>"Nombre maestro "&amp;tDatosMaestros[[#This Row],[NO_CONTROL]]</f>
        <v>Nombre maestro 4431</v>
      </c>
      <c r="C31" t="s">
        <v>50</v>
      </c>
      <c r="D31" s="1">
        <v>4</v>
      </c>
      <c r="E31" s="1" t="s">
        <v>52</v>
      </c>
      <c r="F31" t="s">
        <v>9</v>
      </c>
      <c r="G31" t="s">
        <v>10</v>
      </c>
      <c r="H31">
        <f>IF(tDatosMaestros[[#This Row],[TIPO PROFESOR]]="HRS", 3,2)</f>
        <v>3</v>
      </c>
      <c r="J31">
        <v>0</v>
      </c>
    </row>
    <row r="32" spans="1:10" x14ac:dyDescent="0.25">
      <c r="A32" s="1">
        <v>6783</v>
      </c>
      <c r="B32" t="str">
        <f>"Nombre maestro "&amp;tDatosMaestros[[#This Row],[NO_CONTROL]]</f>
        <v>Nombre maestro 6783</v>
      </c>
      <c r="C32" t="s">
        <v>49</v>
      </c>
      <c r="D32" s="1">
        <v>4</v>
      </c>
      <c r="E32" s="1" t="s">
        <v>16</v>
      </c>
      <c r="F32" t="s">
        <v>9</v>
      </c>
      <c r="G32" t="s">
        <v>10</v>
      </c>
      <c r="H32">
        <f>IF(tDatosMaestros[[#This Row],[TIPO PROFESOR]]="HRS", 3,2)</f>
        <v>3</v>
      </c>
      <c r="J32">
        <v>0</v>
      </c>
    </row>
    <row r="33" spans="1:10" x14ac:dyDescent="0.25">
      <c r="A33" s="1">
        <v>6783</v>
      </c>
      <c r="B33" t="str">
        <f>"Nombre maestro "&amp;tDatosMaestros[[#This Row],[NO_CONTROL]]</f>
        <v>Nombre maestro 6783</v>
      </c>
      <c r="C33" t="s">
        <v>49</v>
      </c>
      <c r="D33" s="1">
        <v>4</v>
      </c>
      <c r="E33" s="1" t="s">
        <v>8</v>
      </c>
      <c r="F33" t="s">
        <v>9</v>
      </c>
      <c r="G33" t="s">
        <v>10</v>
      </c>
      <c r="H33">
        <f>IF(tDatosMaestros[[#This Row],[TIPO PROFESOR]]="HRS", 3,2)</f>
        <v>3</v>
      </c>
      <c r="J33">
        <v>0</v>
      </c>
    </row>
    <row r="34" spans="1:10" x14ac:dyDescent="0.25">
      <c r="A34" s="1">
        <v>6783</v>
      </c>
      <c r="B34" t="str">
        <f>"Nombre maestro "&amp;tDatosMaestros[[#This Row],[NO_CONTROL]]</f>
        <v>Nombre maestro 6783</v>
      </c>
      <c r="C34" t="s">
        <v>49</v>
      </c>
      <c r="D34" s="1">
        <v>4</v>
      </c>
      <c r="E34" s="1" t="s">
        <v>17</v>
      </c>
      <c r="F34" t="s">
        <v>9</v>
      </c>
      <c r="G34" t="s">
        <v>10</v>
      </c>
      <c r="H34">
        <f>IF(tDatosMaestros[[#This Row],[TIPO PROFESOR]]="HRS", 3,2)</f>
        <v>3</v>
      </c>
      <c r="J34">
        <v>0</v>
      </c>
    </row>
    <row r="35" spans="1:10" x14ac:dyDescent="0.25">
      <c r="A35" s="1">
        <v>6783</v>
      </c>
      <c r="B35" t="str">
        <f>"Nombre maestro "&amp;tDatosMaestros[[#This Row],[NO_CONTROL]]</f>
        <v>Nombre maestro 6783</v>
      </c>
      <c r="C35" t="s">
        <v>49</v>
      </c>
      <c r="D35" s="1">
        <v>4</v>
      </c>
      <c r="E35" s="1" t="s">
        <v>18</v>
      </c>
      <c r="F35" t="s">
        <v>9</v>
      </c>
      <c r="G35" t="s">
        <v>10</v>
      </c>
      <c r="H35">
        <f>IF(tDatosMaestros[[#This Row],[TIPO PROFESOR]]="HRS", 3,2)</f>
        <v>3</v>
      </c>
      <c r="J35">
        <v>0</v>
      </c>
    </row>
    <row r="36" spans="1:10" x14ac:dyDescent="0.25">
      <c r="A36" s="1">
        <v>6783</v>
      </c>
      <c r="B36" t="str">
        <f>"Nombre maestro "&amp;tDatosMaestros[[#This Row],[NO_CONTROL]]</f>
        <v>Nombre maestro 6783</v>
      </c>
      <c r="C36" t="s">
        <v>49</v>
      </c>
      <c r="D36" s="1">
        <v>4</v>
      </c>
      <c r="E36" s="1" t="s">
        <v>47</v>
      </c>
      <c r="F36" t="s">
        <v>9</v>
      </c>
      <c r="G36" t="s">
        <v>10</v>
      </c>
      <c r="H36">
        <f>IF(tDatosMaestros[[#This Row],[TIPO PROFESOR]]="HRS", 3,2)</f>
        <v>3</v>
      </c>
      <c r="J36">
        <v>0</v>
      </c>
    </row>
    <row r="37" spans="1:10" x14ac:dyDescent="0.25">
      <c r="A37" s="1">
        <v>4442</v>
      </c>
      <c r="B37" t="str">
        <f>"Nombre maestro "&amp;tDatosMaestros[[#This Row],[NO_CONTROL]]</f>
        <v>Nombre maestro 4442</v>
      </c>
      <c r="C37" t="s">
        <v>48</v>
      </c>
      <c r="D37" s="1">
        <v>4</v>
      </c>
      <c r="E37" s="1" t="s">
        <v>24</v>
      </c>
      <c r="F37" t="s">
        <v>9</v>
      </c>
      <c r="G37" t="s">
        <v>10</v>
      </c>
      <c r="H37">
        <f>IF(tDatosMaestros[[#This Row],[TIPO PROFESOR]]="HRS", 3,2)</f>
        <v>3</v>
      </c>
      <c r="J37">
        <v>0</v>
      </c>
    </row>
    <row r="38" spans="1:10" x14ac:dyDescent="0.25">
      <c r="A38" s="1">
        <v>4879</v>
      </c>
      <c r="B38" t="str">
        <f>"Nombre maestro "&amp;tDatosMaestros[[#This Row],[NO_CONTROL]]</f>
        <v>Nombre maestro 4879</v>
      </c>
      <c r="C38" t="s">
        <v>49</v>
      </c>
      <c r="D38" s="1">
        <v>4</v>
      </c>
      <c r="E38" s="1" t="s">
        <v>12</v>
      </c>
      <c r="F38" t="s">
        <v>9</v>
      </c>
      <c r="G38" t="s">
        <v>10</v>
      </c>
      <c r="H38">
        <f>IF(tDatosMaestros[[#This Row],[TIPO PROFESOR]]="HRS", 3,2)</f>
        <v>3</v>
      </c>
      <c r="J38">
        <v>0</v>
      </c>
    </row>
    <row r="39" spans="1:10" x14ac:dyDescent="0.25">
      <c r="A39" s="1">
        <v>4879</v>
      </c>
      <c r="B39" t="str">
        <f>"Nombre maestro "&amp;tDatosMaestros[[#This Row],[NO_CONTROL]]</f>
        <v>Nombre maestro 4879</v>
      </c>
      <c r="C39" t="s">
        <v>49</v>
      </c>
      <c r="D39" s="1">
        <v>4</v>
      </c>
      <c r="E39" s="1" t="s">
        <v>20</v>
      </c>
      <c r="F39" t="s">
        <v>9</v>
      </c>
      <c r="G39" t="s">
        <v>10</v>
      </c>
      <c r="H39">
        <f>IF(tDatosMaestros[[#This Row],[TIPO PROFESOR]]="HRS", 3,2)</f>
        <v>3</v>
      </c>
      <c r="J39">
        <v>0</v>
      </c>
    </row>
    <row r="40" spans="1:10" x14ac:dyDescent="0.25">
      <c r="A40" s="1">
        <v>6327</v>
      </c>
      <c r="B40" t="str">
        <f>"Nombre maestro "&amp;tDatosMaestros[[#This Row],[NO_CONTROL]]</f>
        <v>Nombre maestro 6327</v>
      </c>
      <c r="C40" t="s">
        <v>46</v>
      </c>
      <c r="D40" s="1">
        <v>5</v>
      </c>
      <c r="E40" s="1" t="s">
        <v>12</v>
      </c>
      <c r="F40" t="s">
        <v>9</v>
      </c>
      <c r="G40" t="s">
        <v>10</v>
      </c>
      <c r="H40">
        <f>IF(tDatosMaestros[[#This Row],[TIPO PROFESOR]]="HRS", 3,2)</f>
        <v>3</v>
      </c>
      <c r="J40">
        <v>0</v>
      </c>
    </row>
    <row r="41" spans="1:10" x14ac:dyDescent="0.25">
      <c r="A41" s="1">
        <v>6327</v>
      </c>
      <c r="B41" t="str">
        <f>"Nombre maestro "&amp;tDatosMaestros[[#This Row],[NO_CONTROL]]</f>
        <v>Nombre maestro 6327</v>
      </c>
      <c r="C41" t="s">
        <v>46</v>
      </c>
      <c r="D41" s="1">
        <v>5</v>
      </c>
      <c r="E41" s="1" t="s">
        <v>31</v>
      </c>
      <c r="F41" t="s">
        <v>9</v>
      </c>
      <c r="G41" t="s">
        <v>10</v>
      </c>
      <c r="H41">
        <f>IF(tDatosMaestros[[#This Row],[TIPO PROFESOR]]="HRS", 3,2)</f>
        <v>3</v>
      </c>
      <c r="J41">
        <v>0</v>
      </c>
    </row>
    <row r="42" spans="1:10" x14ac:dyDescent="0.25">
      <c r="A42" s="1">
        <v>6327</v>
      </c>
      <c r="B42" t="str">
        <f>"Nombre maestro "&amp;tDatosMaestros[[#This Row],[NO_CONTROL]]</f>
        <v>Nombre maestro 6327</v>
      </c>
      <c r="C42" t="s">
        <v>46</v>
      </c>
      <c r="D42" s="1">
        <v>5</v>
      </c>
      <c r="E42" s="1" t="s">
        <v>20</v>
      </c>
      <c r="F42" t="s">
        <v>9</v>
      </c>
      <c r="G42" t="s">
        <v>10</v>
      </c>
      <c r="H42">
        <f>IF(tDatosMaestros[[#This Row],[TIPO PROFESOR]]="HRS", 3,2)</f>
        <v>3</v>
      </c>
      <c r="J42">
        <v>0</v>
      </c>
    </row>
    <row r="43" spans="1:10" x14ac:dyDescent="0.25">
      <c r="A43" s="1">
        <v>6327</v>
      </c>
      <c r="B43" t="str">
        <f>"Nombre maestro "&amp;tDatosMaestros[[#This Row],[NO_CONTROL]]</f>
        <v>Nombre maestro 6327</v>
      </c>
      <c r="C43" t="s">
        <v>46</v>
      </c>
      <c r="D43" s="1">
        <v>5</v>
      </c>
      <c r="E43" s="1" t="s">
        <v>16</v>
      </c>
      <c r="F43" t="s">
        <v>9</v>
      </c>
      <c r="G43" t="s">
        <v>10</v>
      </c>
      <c r="H43">
        <f>IF(tDatosMaestros[[#This Row],[TIPO PROFESOR]]="HRS", 3,2)</f>
        <v>3</v>
      </c>
      <c r="J43">
        <v>0</v>
      </c>
    </row>
    <row r="44" spans="1:10" x14ac:dyDescent="0.25">
      <c r="A44" s="1">
        <v>6327</v>
      </c>
      <c r="B44" t="str">
        <f>"Nombre maestro "&amp;tDatosMaestros[[#This Row],[NO_CONTROL]]</f>
        <v>Nombre maestro 6327</v>
      </c>
      <c r="C44" t="s">
        <v>46</v>
      </c>
      <c r="D44" s="1">
        <v>5</v>
      </c>
      <c r="E44" s="1" t="s">
        <v>8</v>
      </c>
      <c r="F44" t="s">
        <v>9</v>
      </c>
      <c r="G44" t="s">
        <v>10</v>
      </c>
      <c r="H44">
        <f>IF(tDatosMaestros[[#This Row],[TIPO PROFESOR]]="HRS", 3,2)</f>
        <v>3</v>
      </c>
      <c r="J44">
        <v>0</v>
      </c>
    </row>
    <row r="45" spans="1:10" x14ac:dyDescent="0.25">
      <c r="A45" s="1">
        <v>6610</v>
      </c>
      <c r="B45" t="str">
        <f>"Nombre maestro "&amp;tDatosMaestros[[#This Row],[NO_CONTROL]]</f>
        <v>Nombre maestro 6610</v>
      </c>
      <c r="C45" t="s">
        <v>53</v>
      </c>
      <c r="D45" s="1">
        <v>5</v>
      </c>
      <c r="E45" s="1" t="s">
        <v>28</v>
      </c>
      <c r="F45" t="s">
        <v>9</v>
      </c>
      <c r="G45" t="s">
        <v>10</v>
      </c>
      <c r="H45">
        <f>IF(tDatosMaestros[[#This Row],[TIPO PROFESOR]]="HRS", 3,2)</f>
        <v>3</v>
      </c>
      <c r="J45">
        <v>0</v>
      </c>
    </row>
    <row r="46" spans="1:10" x14ac:dyDescent="0.25">
      <c r="A46" s="1">
        <v>6610</v>
      </c>
      <c r="B46" t="str">
        <f>"Nombre maestro "&amp;tDatosMaestros[[#This Row],[NO_CONTROL]]</f>
        <v>Nombre maestro 6610</v>
      </c>
      <c r="C46" t="s">
        <v>53</v>
      </c>
      <c r="D46" s="1">
        <v>5</v>
      </c>
      <c r="E46" s="1" t="s">
        <v>29</v>
      </c>
      <c r="F46" t="s">
        <v>9</v>
      </c>
      <c r="G46" t="s">
        <v>10</v>
      </c>
      <c r="H46">
        <f>IF(tDatosMaestros[[#This Row],[TIPO PROFESOR]]="HRS", 3,2)</f>
        <v>3</v>
      </c>
      <c r="J46">
        <v>0</v>
      </c>
    </row>
    <row r="47" spans="1:10" x14ac:dyDescent="0.25">
      <c r="A47" s="1">
        <v>6610</v>
      </c>
      <c r="B47" t="str">
        <f>"Nombre maestro "&amp;tDatosMaestros[[#This Row],[NO_CONTROL]]</f>
        <v>Nombre maestro 6610</v>
      </c>
      <c r="C47" t="s">
        <v>53</v>
      </c>
      <c r="D47" s="1">
        <v>5</v>
      </c>
      <c r="E47" s="1" t="s">
        <v>51</v>
      </c>
      <c r="F47" t="s">
        <v>9</v>
      </c>
      <c r="G47" t="s">
        <v>10</v>
      </c>
      <c r="H47">
        <f>IF(tDatosMaestros[[#This Row],[TIPO PROFESOR]]="HRS", 3,2)</f>
        <v>3</v>
      </c>
      <c r="J47">
        <v>0</v>
      </c>
    </row>
    <row r="48" spans="1:10" x14ac:dyDescent="0.25">
      <c r="A48" s="1">
        <v>6610</v>
      </c>
      <c r="B48" t="str">
        <f>"Nombre maestro "&amp;tDatosMaestros[[#This Row],[NO_CONTROL]]</f>
        <v>Nombre maestro 6610</v>
      </c>
      <c r="C48" t="s">
        <v>53</v>
      </c>
      <c r="D48" s="1">
        <v>5</v>
      </c>
      <c r="E48" s="1" t="s">
        <v>52</v>
      </c>
      <c r="F48" t="s">
        <v>9</v>
      </c>
      <c r="G48" t="s">
        <v>10</v>
      </c>
      <c r="H48">
        <f>IF(tDatosMaestros[[#This Row],[TIPO PROFESOR]]="HRS", 3,2)</f>
        <v>3</v>
      </c>
      <c r="J48">
        <v>0</v>
      </c>
    </row>
    <row r="49" spans="1:10" x14ac:dyDescent="0.25">
      <c r="A49" s="1">
        <v>6610</v>
      </c>
      <c r="B49" t="str">
        <f>"Nombre maestro "&amp;tDatosMaestros[[#This Row],[NO_CONTROL]]</f>
        <v>Nombre maestro 6610</v>
      </c>
      <c r="C49" t="s">
        <v>11</v>
      </c>
      <c r="D49" s="1">
        <v>4</v>
      </c>
      <c r="E49" s="1" t="s">
        <v>17</v>
      </c>
      <c r="F49" t="s">
        <v>9</v>
      </c>
      <c r="G49" t="s">
        <v>10</v>
      </c>
      <c r="H49">
        <f>IF(tDatosMaestros[[#This Row],[TIPO PROFESOR]]="HRS", 3,2)</f>
        <v>3</v>
      </c>
      <c r="J49">
        <v>0</v>
      </c>
    </row>
    <row r="50" spans="1:10" x14ac:dyDescent="0.25">
      <c r="A50" s="1">
        <v>6610</v>
      </c>
      <c r="B50" t="str">
        <f>"Nombre maestro "&amp;tDatosMaestros[[#This Row],[NO_CONTROL]]</f>
        <v>Nombre maestro 6610</v>
      </c>
      <c r="C50" t="s">
        <v>11</v>
      </c>
      <c r="D50" s="1">
        <v>4</v>
      </c>
      <c r="E50" s="1" t="s">
        <v>18</v>
      </c>
      <c r="F50" t="s">
        <v>9</v>
      </c>
      <c r="G50" t="s">
        <v>10</v>
      </c>
      <c r="H50">
        <f>IF(tDatosMaestros[[#This Row],[TIPO PROFESOR]]="HRS", 3,2)</f>
        <v>3</v>
      </c>
      <c r="J50">
        <v>0</v>
      </c>
    </row>
    <row r="51" spans="1:10" x14ac:dyDescent="0.25">
      <c r="A51" s="1">
        <v>6610</v>
      </c>
      <c r="B51" t="str">
        <f>"Nombre maestro "&amp;tDatosMaestros[[#This Row],[NO_CONTROL]]</f>
        <v>Nombre maestro 6610</v>
      </c>
      <c r="C51" t="s">
        <v>11</v>
      </c>
      <c r="D51" s="1">
        <v>4</v>
      </c>
      <c r="E51" s="1" t="s">
        <v>47</v>
      </c>
      <c r="F51" t="s">
        <v>9</v>
      </c>
      <c r="G51" t="s">
        <v>10</v>
      </c>
      <c r="H51">
        <f>IF(tDatosMaestros[[#This Row],[TIPO PROFESOR]]="HRS", 3,2)</f>
        <v>3</v>
      </c>
      <c r="J51">
        <v>0</v>
      </c>
    </row>
    <row r="52" spans="1:10" x14ac:dyDescent="0.25">
      <c r="A52" s="1">
        <v>839</v>
      </c>
      <c r="B52" t="str">
        <f>"Nombre maestro "&amp;tDatosMaestros[[#This Row],[NO_CONTROL]]</f>
        <v>Nombre maestro 839</v>
      </c>
      <c r="C52" t="s">
        <v>55</v>
      </c>
      <c r="D52" s="1">
        <v>5</v>
      </c>
      <c r="E52" s="1" t="s">
        <v>33</v>
      </c>
      <c r="F52" t="s">
        <v>9</v>
      </c>
      <c r="G52" t="s">
        <v>10</v>
      </c>
      <c r="H52">
        <f>IF(tDatosMaestros[[#This Row],[TIPO PROFESOR]]="HRS", 3,2)</f>
        <v>3</v>
      </c>
      <c r="J52">
        <v>0</v>
      </c>
    </row>
    <row r="53" spans="1:10" x14ac:dyDescent="0.25">
      <c r="A53" s="1">
        <v>839</v>
      </c>
      <c r="B53" t="str">
        <f>"Nombre maestro "&amp;tDatosMaestros[[#This Row],[NO_CONTROL]]</f>
        <v>Nombre maestro 839</v>
      </c>
      <c r="C53" t="s">
        <v>55</v>
      </c>
      <c r="D53" s="1">
        <v>5</v>
      </c>
      <c r="E53" s="1" t="s">
        <v>35</v>
      </c>
      <c r="F53" t="s">
        <v>9</v>
      </c>
      <c r="G53" t="s">
        <v>10</v>
      </c>
      <c r="H53">
        <f>IF(tDatosMaestros[[#This Row],[TIPO PROFESOR]]="HRS", 3,2)</f>
        <v>3</v>
      </c>
      <c r="J53">
        <v>0</v>
      </c>
    </row>
    <row r="54" spans="1:10" x14ac:dyDescent="0.25">
      <c r="A54" s="1" t="s">
        <v>84</v>
      </c>
      <c r="B54" t="str">
        <f>"Nombre maestro "&amp;tDatosMaestros[[#This Row],[NO_CONTROL]]</f>
        <v>Nombre maestro LGRA</v>
      </c>
      <c r="C54" t="s">
        <v>19</v>
      </c>
      <c r="D54" s="1">
        <v>4</v>
      </c>
      <c r="E54" s="1" t="s">
        <v>18</v>
      </c>
      <c r="F54" t="s">
        <v>9</v>
      </c>
      <c r="G54" t="s">
        <v>10</v>
      </c>
      <c r="H54">
        <f>IF(tDatosMaestros[[#This Row],[TIPO PROFESOR]]="HRS", 3,2)</f>
        <v>3</v>
      </c>
      <c r="J54">
        <v>0</v>
      </c>
    </row>
    <row r="55" spans="1:10" x14ac:dyDescent="0.25">
      <c r="A55" s="1">
        <v>1906</v>
      </c>
      <c r="B55" t="str">
        <f>"Nombre maestro "&amp;tDatosMaestros[[#This Row],[NO_CONTROL]]</f>
        <v>Nombre maestro 1906</v>
      </c>
      <c r="C55" t="s">
        <v>46</v>
      </c>
      <c r="D55" s="1">
        <v>5</v>
      </c>
      <c r="E55" s="1" t="s">
        <v>17</v>
      </c>
      <c r="F55" t="s">
        <v>9</v>
      </c>
      <c r="G55" t="s">
        <v>10</v>
      </c>
      <c r="H55">
        <f>IF(tDatosMaestros[[#This Row],[TIPO PROFESOR]]="HRS", 3,2)</f>
        <v>3</v>
      </c>
      <c r="J55">
        <v>0</v>
      </c>
    </row>
    <row r="56" spans="1:10" x14ac:dyDescent="0.25">
      <c r="A56" s="1">
        <v>1906</v>
      </c>
      <c r="B56" t="str">
        <f>"Nombre maestro "&amp;tDatosMaestros[[#This Row],[NO_CONTROL]]</f>
        <v>Nombre maestro 1906</v>
      </c>
      <c r="C56" t="s">
        <v>27</v>
      </c>
      <c r="D56" s="1">
        <v>5</v>
      </c>
      <c r="E56" s="1" t="s">
        <v>22</v>
      </c>
      <c r="F56" t="s">
        <v>9</v>
      </c>
      <c r="G56" t="s">
        <v>10</v>
      </c>
      <c r="H56">
        <f>IF(tDatosMaestros[[#This Row],[TIPO PROFESOR]]="HRS", 3,2)</f>
        <v>3</v>
      </c>
      <c r="J56">
        <v>0</v>
      </c>
    </row>
    <row r="57" spans="1:10" x14ac:dyDescent="0.25">
      <c r="A57" s="1">
        <v>1906</v>
      </c>
      <c r="B57" t="str">
        <f>"Nombre maestro "&amp;tDatosMaestros[[#This Row],[NO_CONTROL]]</f>
        <v>Nombre maestro 1906</v>
      </c>
      <c r="C57" t="s">
        <v>55</v>
      </c>
      <c r="D57" s="1">
        <v>5</v>
      </c>
      <c r="E57" s="1" t="s">
        <v>34</v>
      </c>
      <c r="F57" t="s">
        <v>9</v>
      </c>
      <c r="G57" t="s">
        <v>10</v>
      </c>
      <c r="H57">
        <f>IF(tDatosMaestros[[#This Row],[TIPO PROFESOR]]="HRS", 3,2)</f>
        <v>3</v>
      </c>
      <c r="J57">
        <v>0</v>
      </c>
    </row>
    <row r="58" spans="1:10" x14ac:dyDescent="0.25">
      <c r="A58" s="1">
        <v>1906</v>
      </c>
      <c r="B58" t="str">
        <f>"Nombre maestro "&amp;tDatosMaestros[[#This Row],[NO_CONTROL]]</f>
        <v>Nombre maestro 1906</v>
      </c>
      <c r="C58" t="s">
        <v>55</v>
      </c>
      <c r="D58" s="1">
        <v>5</v>
      </c>
      <c r="E58" s="1" t="s">
        <v>36</v>
      </c>
      <c r="F58" t="s">
        <v>9</v>
      </c>
      <c r="G58" t="s">
        <v>10</v>
      </c>
      <c r="H58">
        <f>IF(tDatosMaestros[[#This Row],[TIPO PROFESOR]]="HRS", 3,2)</f>
        <v>3</v>
      </c>
      <c r="J58">
        <v>0</v>
      </c>
    </row>
    <row r="59" spans="1:10" x14ac:dyDescent="0.25">
      <c r="A59" s="1">
        <v>1906</v>
      </c>
      <c r="B59" t="str">
        <f>"Nombre maestro "&amp;tDatosMaestros[[#This Row],[NO_CONTROL]]</f>
        <v>Nombre maestro 1906</v>
      </c>
      <c r="C59" t="s">
        <v>55</v>
      </c>
      <c r="D59" s="1">
        <v>5</v>
      </c>
      <c r="E59" s="1" t="s">
        <v>38</v>
      </c>
      <c r="F59" t="s">
        <v>9</v>
      </c>
      <c r="G59" t="s">
        <v>10</v>
      </c>
      <c r="H59">
        <f>IF(tDatosMaestros[[#This Row],[TIPO PROFESOR]]="HRS", 3,2)</f>
        <v>3</v>
      </c>
      <c r="J59">
        <v>0</v>
      </c>
    </row>
    <row r="60" spans="1:10" x14ac:dyDescent="0.25">
      <c r="A60" s="1">
        <v>5321</v>
      </c>
      <c r="B60" t="str">
        <f>"Nombre maestro "&amp;tDatosMaestros[[#This Row],[NO_CONTROL]]</f>
        <v>Nombre maestro 5321</v>
      </c>
      <c r="C60" t="s">
        <v>7</v>
      </c>
      <c r="D60" s="1">
        <v>4</v>
      </c>
      <c r="E60" s="1" t="s">
        <v>12</v>
      </c>
      <c r="F60" t="s">
        <v>9</v>
      </c>
      <c r="G60" t="s">
        <v>10</v>
      </c>
      <c r="H60">
        <f>IF(tDatosMaestros[[#This Row],[TIPO PROFESOR]]="HRS", 3,2)</f>
        <v>3</v>
      </c>
      <c r="J60">
        <v>0</v>
      </c>
    </row>
    <row r="61" spans="1:10" x14ac:dyDescent="0.25">
      <c r="A61" s="1">
        <v>5321</v>
      </c>
      <c r="B61" t="str">
        <f>"Nombre maestro "&amp;tDatosMaestros[[#This Row],[NO_CONTROL]]</f>
        <v>Nombre maestro 5321</v>
      </c>
      <c r="C61" t="s">
        <v>7</v>
      </c>
      <c r="D61" s="1">
        <v>4</v>
      </c>
      <c r="E61" s="1" t="s">
        <v>20</v>
      </c>
      <c r="F61" t="s">
        <v>9</v>
      </c>
      <c r="G61" t="s">
        <v>10</v>
      </c>
      <c r="H61">
        <f>IF(tDatosMaestros[[#This Row],[TIPO PROFESOR]]="HRS", 3,2)</f>
        <v>3</v>
      </c>
      <c r="J61">
        <v>0</v>
      </c>
    </row>
    <row r="62" spans="1:10" x14ac:dyDescent="0.25">
      <c r="A62" s="1">
        <v>5321</v>
      </c>
      <c r="B62" t="str">
        <f>"Nombre maestro "&amp;tDatosMaestros[[#This Row],[NO_CONTROL]]</f>
        <v>Nombre maestro 5321</v>
      </c>
      <c r="C62" t="s">
        <v>7</v>
      </c>
      <c r="D62" s="1">
        <v>4</v>
      </c>
      <c r="E62" s="1" t="s">
        <v>17</v>
      </c>
      <c r="F62" t="s">
        <v>9</v>
      </c>
      <c r="G62" t="s">
        <v>10</v>
      </c>
      <c r="H62">
        <f>IF(tDatosMaestros[[#This Row],[TIPO PROFESOR]]="HRS", 3,2)</f>
        <v>3</v>
      </c>
      <c r="J62">
        <v>0</v>
      </c>
    </row>
    <row r="63" spans="1:10" x14ac:dyDescent="0.25">
      <c r="A63" s="1">
        <v>5321</v>
      </c>
      <c r="B63" t="str">
        <f>"Nombre maestro "&amp;tDatosMaestros[[#This Row],[NO_CONTROL]]</f>
        <v>Nombre maestro 5321</v>
      </c>
      <c r="C63" t="s">
        <v>7</v>
      </c>
      <c r="D63" s="1">
        <v>4</v>
      </c>
      <c r="E63" s="1" t="s">
        <v>18</v>
      </c>
      <c r="F63" t="s">
        <v>9</v>
      </c>
      <c r="G63" t="s">
        <v>10</v>
      </c>
      <c r="H63">
        <f>IF(tDatosMaestros[[#This Row],[TIPO PROFESOR]]="HRS", 3,2)</f>
        <v>3</v>
      </c>
      <c r="J63">
        <v>0</v>
      </c>
    </row>
    <row r="64" spans="1:10" x14ac:dyDescent="0.25">
      <c r="A64" s="1">
        <v>5321</v>
      </c>
      <c r="B64" t="str">
        <f>"Nombre maestro "&amp;tDatosMaestros[[#This Row],[NO_CONTROL]]</f>
        <v>Nombre maestro 5321</v>
      </c>
      <c r="C64" t="s">
        <v>56</v>
      </c>
      <c r="D64" s="1">
        <v>4</v>
      </c>
      <c r="E64" s="1" t="s">
        <v>28</v>
      </c>
      <c r="F64" t="s">
        <v>9</v>
      </c>
      <c r="G64" t="s">
        <v>10</v>
      </c>
      <c r="H64">
        <f>IF(tDatosMaestros[[#This Row],[TIPO PROFESOR]]="HRS", 3,2)</f>
        <v>3</v>
      </c>
      <c r="J64">
        <v>0</v>
      </c>
    </row>
    <row r="65" spans="1:10" x14ac:dyDescent="0.25">
      <c r="A65" s="1">
        <v>5321</v>
      </c>
      <c r="B65" t="str">
        <f>"Nombre maestro "&amp;tDatosMaestros[[#This Row],[NO_CONTROL]]</f>
        <v>Nombre maestro 5321</v>
      </c>
      <c r="C65" t="s">
        <v>56</v>
      </c>
      <c r="D65" s="1">
        <v>4</v>
      </c>
      <c r="E65" s="1" t="s">
        <v>29</v>
      </c>
      <c r="F65" t="s">
        <v>9</v>
      </c>
      <c r="G65" t="s">
        <v>10</v>
      </c>
      <c r="H65">
        <f>IF(tDatosMaestros[[#This Row],[TIPO PROFESOR]]="HRS", 3,2)</f>
        <v>3</v>
      </c>
      <c r="J65">
        <v>0</v>
      </c>
    </row>
    <row r="66" spans="1:10" x14ac:dyDescent="0.25">
      <c r="A66" s="1">
        <v>5321</v>
      </c>
      <c r="B66" t="str">
        <f>"Nombre maestro "&amp;tDatosMaestros[[#This Row],[NO_CONTROL]]</f>
        <v>Nombre maestro 5321</v>
      </c>
      <c r="C66" t="s">
        <v>56</v>
      </c>
      <c r="D66" s="1">
        <v>4</v>
      </c>
      <c r="E66" s="1" t="s">
        <v>51</v>
      </c>
      <c r="F66" t="s">
        <v>9</v>
      </c>
      <c r="G66" t="s">
        <v>10</v>
      </c>
      <c r="H66">
        <f>IF(tDatosMaestros[[#This Row],[TIPO PROFESOR]]="HRS", 3,2)</f>
        <v>3</v>
      </c>
      <c r="J66">
        <v>0</v>
      </c>
    </row>
    <row r="67" spans="1:10" x14ac:dyDescent="0.25">
      <c r="A67" s="1">
        <v>5321</v>
      </c>
      <c r="B67" t="str">
        <f>"Nombre maestro "&amp;tDatosMaestros[[#This Row],[NO_CONTROL]]</f>
        <v>Nombre maestro 5321</v>
      </c>
      <c r="C67" t="s">
        <v>56</v>
      </c>
      <c r="D67" s="1">
        <v>4</v>
      </c>
      <c r="E67" s="1" t="s">
        <v>52</v>
      </c>
      <c r="F67" t="s">
        <v>9</v>
      </c>
      <c r="G67" t="s">
        <v>10</v>
      </c>
      <c r="H67">
        <f>IF(tDatosMaestros[[#This Row],[TIPO PROFESOR]]="HRS", 3,2)</f>
        <v>3</v>
      </c>
      <c r="J67">
        <v>0</v>
      </c>
    </row>
    <row r="68" spans="1:10" x14ac:dyDescent="0.25">
      <c r="A68" s="1">
        <v>1017</v>
      </c>
      <c r="B68" t="str">
        <f>"Nombre maestro "&amp;tDatosMaestros[[#This Row],[NO_CONTROL]]</f>
        <v>Nombre maestro 1017</v>
      </c>
      <c r="C68" t="s">
        <v>57</v>
      </c>
      <c r="D68" s="1">
        <v>8</v>
      </c>
      <c r="E68" s="1" t="s">
        <v>33</v>
      </c>
      <c r="F68" t="s">
        <v>9</v>
      </c>
      <c r="G68" t="s">
        <v>10</v>
      </c>
      <c r="H68">
        <f>IF(tDatosMaestros[[#This Row],[TIPO PROFESOR]]="HRS", 3,2)</f>
        <v>3</v>
      </c>
      <c r="J68">
        <v>0</v>
      </c>
    </row>
    <row r="69" spans="1:10" x14ac:dyDescent="0.25">
      <c r="A69" s="1">
        <v>1017</v>
      </c>
      <c r="B69" t="str">
        <f>"Nombre maestro "&amp;tDatosMaestros[[#This Row],[NO_CONTROL]]</f>
        <v>Nombre maestro 1017</v>
      </c>
      <c r="C69" t="s">
        <v>58</v>
      </c>
      <c r="D69" s="1">
        <v>5</v>
      </c>
      <c r="E69" s="1" t="s">
        <v>22</v>
      </c>
      <c r="F69" t="s">
        <v>9</v>
      </c>
      <c r="G69" t="s">
        <v>10</v>
      </c>
      <c r="H69">
        <f>IF(tDatosMaestros[[#This Row],[TIPO PROFESOR]]="HRS", 3,2)</f>
        <v>3</v>
      </c>
      <c r="J69">
        <v>0</v>
      </c>
    </row>
    <row r="70" spans="1:10" x14ac:dyDescent="0.25">
      <c r="A70" s="1">
        <v>1017</v>
      </c>
      <c r="B70" t="str">
        <f>"Nombre maestro "&amp;tDatosMaestros[[#This Row],[NO_CONTROL]]</f>
        <v>Nombre maestro 1017</v>
      </c>
      <c r="C70" t="s">
        <v>55</v>
      </c>
      <c r="D70" s="1">
        <v>5</v>
      </c>
      <c r="E70" s="1" t="s">
        <v>39</v>
      </c>
      <c r="F70" t="s">
        <v>9</v>
      </c>
      <c r="G70" t="s">
        <v>10</v>
      </c>
      <c r="H70">
        <f>IF(tDatosMaestros[[#This Row],[TIPO PROFESOR]]="HRS", 3,2)</f>
        <v>3</v>
      </c>
      <c r="J70">
        <v>0</v>
      </c>
    </row>
    <row r="71" spans="1:10" x14ac:dyDescent="0.25">
      <c r="A71" s="1">
        <v>1017</v>
      </c>
      <c r="B71" t="str">
        <f>"Nombre maestro "&amp;tDatosMaestros[[#This Row],[NO_CONTROL]]</f>
        <v>Nombre maestro 1017</v>
      </c>
      <c r="C71" t="s">
        <v>59</v>
      </c>
      <c r="D71" s="1">
        <v>8</v>
      </c>
      <c r="E71" s="1" t="s">
        <v>22</v>
      </c>
      <c r="F71" t="s">
        <v>9</v>
      </c>
      <c r="G71" t="s">
        <v>10</v>
      </c>
      <c r="H71">
        <f>IF(tDatosMaestros[[#This Row],[TIPO PROFESOR]]="HRS", 3,2)</f>
        <v>3</v>
      </c>
      <c r="J71">
        <v>0</v>
      </c>
    </row>
    <row r="72" spans="1:10" x14ac:dyDescent="0.25">
      <c r="A72" s="1">
        <v>1017</v>
      </c>
      <c r="B72" t="str">
        <f>"Nombre maestro "&amp;tDatosMaestros[[#This Row],[NO_CONTROL]]</f>
        <v>Nombre maestro 1017</v>
      </c>
      <c r="C72" t="s">
        <v>60</v>
      </c>
      <c r="D72" s="1">
        <v>4</v>
      </c>
      <c r="E72" s="1" t="s">
        <v>12</v>
      </c>
      <c r="F72" t="s">
        <v>9</v>
      </c>
      <c r="G72" t="s">
        <v>10</v>
      </c>
      <c r="H72">
        <f>IF(tDatosMaestros[[#This Row],[TIPO PROFESOR]]="HRS", 3,2)</f>
        <v>3</v>
      </c>
      <c r="J72">
        <v>0</v>
      </c>
    </row>
    <row r="73" spans="1:10" x14ac:dyDescent="0.25">
      <c r="A73" s="1">
        <v>7542</v>
      </c>
      <c r="B73" t="str">
        <f>"Nombre maestro "&amp;tDatosMaestros[[#This Row],[NO_CONTROL]]</f>
        <v>Nombre maestro 7542</v>
      </c>
      <c r="C73" t="s">
        <v>19</v>
      </c>
      <c r="D73" s="1">
        <v>4</v>
      </c>
      <c r="E73" s="1" t="s">
        <v>31</v>
      </c>
      <c r="F73" t="s">
        <v>9</v>
      </c>
      <c r="G73" t="s">
        <v>10</v>
      </c>
      <c r="H73">
        <f>IF(tDatosMaestros[[#This Row],[TIPO PROFESOR]]="HRS", 3,2)</f>
        <v>3</v>
      </c>
      <c r="J73">
        <v>0</v>
      </c>
    </row>
    <row r="74" spans="1:10" x14ac:dyDescent="0.25">
      <c r="A74" s="1">
        <v>7542</v>
      </c>
      <c r="B74" t="str">
        <f>"Nombre maestro "&amp;tDatosMaestros[[#This Row],[NO_CONTROL]]</f>
        <v>Nombre maestro 7542</v>
      </c>
      <c r="C74" t="s">
        <v>61</v>
      </c>
      <c r="D74" s="1">
        <v>4</v>
      </c>
      <c r="E74" s="1" t="s">
        <v>51</v>
      </c>
      <c r="F74" t="s">
        <v>9</v>
      </c>
      <c r="G74" t="s">
        <v>10</v>
      </c>
      <c r="H74">
        <f>IF(tDatosMaestros[[#This Row],[TIPO PROFESOR]]="HRS", 3,2)</f>
        <v>3</v>
      </c>
      <c r="J74">
        <v>0</v>
      </c>
    </row>
    <row r="75" spans="1:10" x14ac:dyDescent="0.25">
      <c r="A75" s="1">
        <v>4179</v>
      </c>
      <c r="B75" t="str">
        <f>"Nombre maestro "&amp;tDatosMaestros[[#This Row],[NO_CONTROL]]</f>
        <v>Nombre maestro 4179</v>
      </c>
      <c r="C75" t="s">
        <v>60</v>
      </c>
      <c r="D75" s="1">
        <v>4</v>
      </c>
      <c r="E75" s="1" t="s">
        <v>31</v>
      </c>
      <c r="F75" t="s">
        <v>9</v>
      </c>
      <c r="G75" t="s">
        <v>10</v>
      </c>
      <c r="H75">
        <f>IF(tDatosMaestros[[#This Row],[TIPO PROFESOR]]="HRS", 3,2)</f>
        <v>3</v>
      </c>
      <c r="J75">
        <v>0</v>
      </c>
    </row>
    <row r="76" spans="1:10" x14ac:dyDescent="0.25">
      <c r="A76" s="1">
        <v>4179</v>
      </c>
      <c r="B76" t="str">
        <f>"Nombre maestro "&amp;tDatosMaestros[[#This Row],[NO_CONTROL]]</f>
        <v>Nombre maestro 4179</v>
      </c>
      <c r="C76" t="s">
        <v>60</v>
      </c>
      <c r="D76" s="1">
        <v>4</v>
      </c>
      <c r="E76" s="1" t="s">
        <v>20</v>
      </c>
      <c r="F76" t="s">
        <v>9</v>
      </c>
      <c r="G76" t="s">
        <v>10</v>
      </c>
      <c r="H76">
        <f>IF(tDatosMaestros[[#This Row],[TIPO PROFESOR]]="HRS", 3,2)</f>
        <v>3</v>
      </c>
      <c r="J76">
        <v>0</v>
      </c>
    </row>
    <row r="77" spans="1:10" x14ac:dyDescent="0.25">
      <c r="A77" s="1">
        <v>4179</v>
      </c>
      <c r="B77" t="str">
        <f>"Nombre maestro "&amp;tDatosMaestros[[#This Row],[NO_CONTROL]]</f>
        <v>Nombre maestro 4179</v>
      </c>
      <c r="C77" t="s">
        <v>60</v>
      </c>
      <c r="D77" s="1">
        <v>4</v>
      </c>
      <c r="E77" s="1" t="s">
        <v>16</v>
      </c>
      <c r="F77" t="s">
        <v>9</v>
      </c>
      <c r="G77" t="s">
        <v>10</v>
      </c>
      <c r="H77">
        <f>IF(tDatosMaestros[[#This Row],[TIPO PROFESOR]]="HRS", 3,2)</f>
        <v>3</v>
      </c>
      <c r="J77">
        <v>0</v>
      </c>
    </row>
    <row r="78" spans="1:10" x14ac:dyDescent="0.25">
      <c r="A78" s="1">
        <v>4179</v>
      </c>
      <c r="B78" t="str">
        <f>"Nombre maestro "&amp;tDatosMaestros[[#This Row],[NO_CONTROL]]</f>
        <v>Nombre maestro 4179</v>
      </c>
      <c r="C78" t="s">
        <v>60</v>
      </c>
      <c r="D78" s="1">
        <v>4</v>
      </c>
      <c r="E78" s="1" t="s">
        <v>17</v>
      </c>
      <c r="F78" t="s">
        <v>9</v>
      </c>
      <c r="G78" t="s">
        <v>10</v>
      </c>
      <c r="H78">
        <f>IF(tDatosMaestros[[#This Row],[TIPO PROFESOR]]="HRS", 3,2)</f>
        <v>3</v>
      </c>
      <c r="J78">
        <v>0</v>
      </c>
    </row>
    <row r="79" spans="1:10" x14ac:dyDescent="0.25">
      <c r="A79" s="1">
        <v>4179</v>
      </c>
      <c r="B79" t="str">
        <f>"Nombre maestro "&amp;tDatosMaestros[[#This Row],[NO_CONTROL]]</f>
        <v>Nombre maestro 4179</v>
      </c>
      <c r="C79" t="s">
        <v>60</v>
      </c>
      <c r="D79" s="1">
        <v>4</v>
      </c>
      <c r="E79" s="1" t="s">
        <v>18</v>
      </c>
      <c r="F79" t="s">
        <v>9</v>
      </c>
      <c r="G79" t="s">
        <v>10</v>
      </c>
      <c r="H79">
        <f>IF(tDatosMaestros[[#This Row],[TIPO PROFESOR]]="HRS", 3,2)</f>
        <v>3</v>
      </c>
      <c r="J79">
        <v>0</v>
      </c>
    </row>
    <row r="80" spans="1:10" x14ac:dyDescent="0.25">
      <c r="A80" s="1">
        <v>4179</v>
      </c>
      <c r="B80" t="str">
        <f>"Nombre maestro "&amp;tDatosMaestros[[#This Row],[NO_CONTROL]]</f>
        <v>Nombre maestro 4179</v>
      </c>
      <c r="C80" t="s">
        <v>60</v>
      </c>
      <c r="D80" s="1">
        <v>4</v>
      </c>
      <c r="E80" s="1" t="s">
        <v>47</v>
      </c>
      <c r="F80" t="s">
        <v>9</v>
      </c>
      <c r="G80" t="s">
        <v>10</v>
      </c>
      <c r="H80">
        <f>IF(tDatosMaestros[[#This Row],[TIPO PROFESOR]]="HRS", 3,2)</f>
        <v>3</v>
      </c>
      <c r="J80">
        <v>0</v>
      </c>
    </row>
    <row r="81" spans="1:10" x14ac:dyDescent="0.25">
      <c r="A81" s="1">
        <v>4179</v>
      </c>
      <c r="B81" t="str">
        <f>"Nombre maestro "&amp;tDatosMaestros[[#This Row],[NO_CONTROL]]</f>
        <v>Nombre maestro 4179</v>
      </c>
      <c r="C81" t="s">
        <v>62</v>
      </c>
      <c r="D81" s="1">
        <v>4</v>
      </c>
      <c r="E81" s="1" t="s">
        <v>24</v>
      </c>
      <c r="F81" t="s">
        <v>9</v>
      </c>
      <c r="G81" t="s">
        <v>10</v>
      </c>
      <c r="H81">
        <f>IF(tDatosMaestros[[#This Row],[TIPO PROFESOR]]="HRS", 3,2)</f>
        <v>3</v>
      </c>
      <c r="J81">
        <v>0</v>
      </c>
    </row>
    <row r="82" spans="1:10" x14ac:dyDescent="0.25">
      <c r="A82" s="1">
        <v>4179</v>
      </c>
      <c r="B82" t="str">
        <f>"Nombre maestro "&amp;tDatosMaestros[[#This Row],[NO_CONTROL]]</f>
        <v>Nombre maestro 4179</v>
      </c>
      <c r="C82" t="s">
        <v>62</v>
      </c>
      <c r="D82" s="1">
        <v>4</v>
      </c>
      <c r="E82" s="1" t="s">
        <v>26</v>
      </c>
      <c r="F82" t="s">
        <v>9</v>
      </c>
      <c r="G82" t="s">
        <v>10</v>
      </c>
      <c r="H82">
        <f>IF(tDatosMaestros[[#This Row],[TIPO PROFESOR]]="HRS", 3,2)</f>
        <v>3</v>
      </c>
      <c r="J82">
        <v>0</v>
      </c>
    </row>
    <row r="83" spans="1:10" x14ac:dyDescent="0.25">
      <c r="A83" s="1">
        <v>3976</v>
      </c>
      <c r="B83" t="str">
        <f>"Nombre maestro "&amp;tDatosMaestros[[#This Row],[NO_CONTROL]]</f>
        <v>Nombre maestro 3976</v>
      </c>
      <c r="C83" t="s">
        <v>48</v>
      </c>
      <c r="D83" s="1">
        <v>4</v>
      </c>
      <c r="E83" s="1" t="s">
        <v>33</v>
      </c>
      <c r="F83" t="s">
        <v>9</v>
      </c>
      <c r="G83" t="s">
        <v>10</v>
      </c>
      <c r="H83">
        <f>IF(tDatosMaestros[[#This Row],[TIPO PROFESOR]]="HRS", 3,2)</f>
        <v>3</v>
      </c>
      <c r="J83">
        <v>0</v>
      </c>
    </row>
    <row r="84" spans="1:10" x14ac:dyDescent="0.25">
      <c r="A84" s="1">
        <v>3976</v>
      </c>
      <c r="B84" t="str">
        <f>"Nombre maestro "&amp;tDatosMaestros[[#This Row],[NO_CONTROL]]</f>
        <v>Nombre maestro 3976</v>
      </c>
      <c r="C84" t="s">
        <v>48</v>
      </c>
      <c r="D84" s="1">
        <v>4</v>
      </c>
      <c r="E84" s="1" t="s">
        <v>34</v>
      </c>
      <c r="F84" t="s">
        <v>9</v>
      </c>
      <c r="G84" t="s">
        <v>10</v>
      </c>
      <c r="H84">
        <f>IF(tDatosMaestros[[#This Row],[TIPO PROFESOR]]="HRS", 3,2)</f>
        <v>3</v>
      </c>
      <c r="J84">
        <v>0</v>
      </c>
    </row>
    <row r="85" spans="1:10" x14ac:dyDescent="0.25">
      <c r="A85" s="1">
        <v>3976</v>
      </c>
      <c r="B85" t="str">
        <f>"Nombre maestro "&amp;tDatosMaestros[[#This Row],[NO_CONTROL]]</f>
        <v>Nombre maestro 3976</v>
      </c>
      <c r="C85" t="s">
        <v>48</v>
      </c>
      <c r="D85" s="1">
        <v>4</v>
      </c>
      <c r="E85" s="1" t="s">
        <v>35</v>
      </c>
      <c r="F85" t="s">
        <v>9</v>
      </c>
      <c r="G85" t="s">
        <v>10</v>
      </c>
      <c r="H85">
        <f>IF(tDatosMaestros[[#This Row],[TIPO PROFESOR]]="HRS", 3,2)</f>
        <v>3</v>
      </c>
      <c r="J85">
        <v>0</v>
      </c>
    </row>
    <row r="86" spans="1:10" x14ac:dyDescent="0.25">
      <c r="A86" s="1">
        <v>3976</v>
      </c>
      <c r="B86" t="str">
        <f>"Nombre maestro "&amp;tDatosMaestros[[#This Row],[NO_CONTROL]]</f>
        <v>Nombre maestro 3976</v>
      </c>
      <c r="C86" t="s">
        <v>48</v>
      </c>
      <c r="D86" s="1">
        <v>4</v>
      </c>
      <c r="E86" s="1" t="s">
        <v>36</v>
      </c>
      <c r="F86" t="s">
        <v>9</v>
      </c>
      <c r="G86" t="s">
        <v>10</v>
      </c>
      <c r="H86">
        <f>IF(tDatosMaestros[[#This Row],[TIPO PROFESOR]]="HRS", 3,2)</f>
        <v>3</v>
      </c>
      <c r="J86">
        <v>0</v>
      </c>
    </row>
    <row r="87" spans="1:10" x14ac:dyDescent="0.25">
      <c r="A87" s="1">
        <v>3976</v>
      </c>
      <c r="B87" t="str">
        <f>"Nombre maestro "&amp;tDatosMaestros[[#This Row],[NO_CONTROL]]</f>
        <v>Nombre maestro 3976</v>
      </c>
      <c r="C87" t="s">
        <v>48</v>
      </c>
      <c r="D87" s="1">
        <v>4</v>
      </c>
      <c r="E87" s="1" t="s">
        <v>38</v>
      </c>
      <c r="F87" t="s">
        <v>9</v>
      </c>
      <c r="G87" t="s">
        <v>10</v>
      </c>
      <c r="H87">
        <f>IF(tDatosMaestros[[#This Row],[TIPO PROFESOR]]="HRS", 3,2)</f>
        <v>3</v>
      </c>
      <c r="J87">
        <v>0</v>
      </c>
    </row>
    <row r="88" spans="1:10" x14ac:dyDescent="0.25">
      <c r="A88" s="1">
        <v>3976</v>
      </c>
      <c r="B88" t="str">
        <f>"Nombre maestro "&amp;tDatosMaestros[[#This Row],[NO_CONTROL]]</f>
        <v>Nombre maestro 3976</v>
      </c>
      <c r="C88" t="s">
        <v>48</v>
      </c>
      <c r="D88" s="1">
        <v>4</v>
      </c>
      <c r="E88" s="1" t="s">
        <v>39</v>
      </c>
      <c r="F88" t="s">
        <v>9</v>
      </c>
      <c r="G88" t="s">
        <v>10</v>
      </c>
      <c r="H88">
        <f>IF(tDatosMaestros[[#This Row],[TIPO PROFESOR]]="HRS", 3,2)</f>
        <v>3</v>
      </c>
      <c r="J88">
        <v>0</v>
      </c>
    </row>
    <row r="89" spans="1:10" x14ac:dyDescent="0.25">
      <c r="A89" s="1">
        <v>3976</v>
      </c>
      <c r="B89" t="str">
        <f>"Nombre maestro "&amp;tDatosMaestros[[#This Row],[NO_CONTROL]]</f>
        <v>Nombre maestro 3976</v>
      </c>
      <c r="C89" t="s">
        <v>48</v>
      </c>
      <c r="D89" s="1">
        <v>4</v>
      </c>
      <c r="E89" s="1" t="s">
        <v>40</v>
      </c>
      <c r="F89" t="s">
        <v>9</v>
      </c>
      <c r="G89" t="s">
        <v>10</v>
      </c>
      <c r="H89">
        <f>IF(tDatosMaestros[[#This Row],[TIPO PROFESOR]]="HRS", 3,2)</f>
        <v>3</v>
      </c>
      <c r="J89">
        <v>0</v>
      </c>
    </row>
    <row r="90" spans="1:10" x14ac:dyDescent="0.25">
      <c r="A90" s="1">
        <v>3976</v>
      </c>
      <c r="B90" t="str">
        <f>"Nombre maestro "&amp;tDatosMaestros[[#This Row],[NO_CONTROL]]</f>
        <v>Nombre maestro 3976</v>
      </c>
      <c r="C90" t="s">
        <v>48</v>
      </c>
      <c r="D90" s="1">
        <v>4</v>
      </c>
      <c r="E90" s="1" t="s">
        <v>14</v>
      </c>
      <c r="F90" t="s">
        <v>9</v>
      </c>
      <c r="G90" t="s">
        <v>10</v>
      </c>
      <c r="H90">
        <f>IF(tDatosMaestros[[#This Row],[TIPO PROFESOR]]="HRS", 3,2)</f>
        <v>3</v>
      </c>
      <c r="J90">
        <v>0</v>
      </c>
    </row>
    <row r="91" spans="1:10" x14ac:dyDescent="0.25">
      <c r="A91" s="1">
        <v>3976</v>
      </c>
      <c r="B91" t="str">
        <f>"Nombre maestro "&amp;tDatosMaestros[[#This Row],[NO_CONTROL]]</f>
        <v>Nombre maestro 3976</v>
      </c>
      <c r="C91" t="s">
        <v>63</v>
      </c>
      <c r="D91" s="1">
        <v>4</v>
      </c>
      <c r="E91" s="1" t="s">
        <v>26</v>
      </c>
      <c r="F91" t="s">
        <v>9</v>
      </c>
      <c r="G91" t="s">
        <v>10</v>
      </c>
      <c r="H91">
        <f>IF(tDatosMaestros[[#This Row],[TIPO PROFESOR]]="HRS", 3,2)</f>
        <v>3</v>
      </c>
      <c r="J91">
        <v>1</v>
      </c>
    </row>
    <row r="92" spans="1:10" x14ac:dyDescent="0.25">
      <c r="A92" s="1">
        <v>3976</v>
      </c>
      <c r="B92" t="str">
        <f>"Nombre maestro "&amp;tDatosMaestros[[#This Row],[NO_CONTROL]]</f>
        <v>Nombre maestro 3976</v>
      </c>
      <c r="C92" t="s">
        <v>63</v>
      </c>
      <c r="D92" s="1">
        <v>4</v>
      </c>
      <c r="E92" s="1" t="s">
        <v>29</v>
      </c>
      <c r="F92" t="s">
        <v>9</v>
      </c>
      <c r="G92" t="s">
        <v>10</v>
      </c>
      <c r="H92">
        <f>IF(tDatosMaestros[[#This Row],[TIPO PROFESOR]]="HRS", 3,2)</f>
        <v>3</v>
      </c>
      <c r="J92">
        <v>4</v>
      </c>
    </row>
    <row r="93" spans="1:10" x14ac:dyDescent="0.25">
      <c r="A93" s="1">
        <v>3686</v>
      </c>
      <c r="B93" t="str">
        <f>"Nombre maestro "&amp;tDatosMaestros[[#This Row],[NO_CONTROL]]</f>
        <v>Nombre maestro 3686</v>
      </c>
      <c r="C93" t="s">
        <v>68</v>
      </c>
      <c r="D93" s="1">
        <v>5</v>
      </c>
      <c r="E93" s="1" t="s">
        <v>14</v>
      </c>
      <c r="F93" t="s">
        <v>9</v>
      </c>
      <c r="G93" t="s">
        <v>10</v>
      </c>
      <c r="H93">
        <f>IF(tDatosMaestros[[#This Row],[TIPO PROFESOR]]="HRS", 3,2)</f>
        <v>3</v>
      </c>
      <c r="J93">
        <v>0</v>
      </c>
    </row>
    <row r="94" spans="1:10" x14ac:dyDescent="0.25">
      <c r="A94" s="1">
        <v>3686</v>
      </c>
      <c r="B94" t="str">
        <f>"Nombre maestro "&amp;tDatosMaestros[[#This Row],[NO_CONTROL]]</f>
        <v>Nombre maestro 3686</v>
      </c>
      <c r="C94" t="s">
        <v>69</v>
      </c>
      <c r="D94" s="1">
        <v>2</v>
      </c>
      <c r="E94" s="1" t="s">
        <v>47</v>
      </c>
      <c r="F94" t="s">
        <v>9</v>
      </c>
      <c r="G94" t="s">
        <v>10</v>
      </c>
      <c r="H94">
        <f>IF(tDatosMaestros[[#This Row],[TIPO PROFESOR]]="HRS", 3,2)</f>
        <v>3</v>
      </c>
      <c r="J94">
        <v>0</v>
      </c>
    </row>
    <row r="95" spans="1:10" x14ac:dyDescent="0.25">
      <c r="A95" s="1">
        <v>3686</v>
      </c>
      <c r="B95" t="str">
        <f>"Nombre maestro "&amp;tDatosMaestros[[#This Row],[NO_CONTROL]]</f>
        <v>Nombre maestro 3686</v>
      </c>
      <c r="C95" t="s">
        <v>70</v>
      </c>
      <c r="D95" s="1">
        <v>2</v>
      </c>
      <c r="E95" s="1" t="s">
        <v>33</v>
      </c>
      <c r="F95" t="s">
        <v>9</v>
      </c>
      <c r="G95" t="s">
        <v>10</v>
      </c>
      <c r="H95">
        <f>IF(tDatosMaestros[[#This Row],[TIPO PROFESOR]]="HRS", 3,2)</f>
        <v>3</v>
      </c>
      <c r="J95">
        <v>0</v>
      </c>
    </row>
    <row r="96" spans="1:10" x14ac:dyDescent="0.25">
      <c r="A96" s="1">
        <v>3686</v>
      </c>
      <c r="B96" t="str">
        <f>"Nombre maestro "&amp;tDatosMaestros[[#This Row],[NO_CONTROL]]</f>
        <v>Nombre maestro 3686</v>
      </c>
      <c r="C96" t="s">
        <v>70</v>
      </c>
      <c r="D96" s="1">
        <v>2</v>
      </c>
      <c r="E96" s="1" t="s">
        <v>34</v>
      </c>
      <c r="F96" t="s">
        <v>9</v>
      </c>
      <c r="G96" t="s">
        <v>10</v>
      </c>
      <c r="H96">
        <f>IF(tDatosMaestros[[#This Row],[TIPO PROFESOR]]="HRS", 3,2)</f>
        <v>3</v>
      </c>
      <c r="J96">
        <v>0</v>
      </c>
    </row>
    <row r="97" spans="1:10" x14ac:dyDescent="0.25">
      <c r="A97" s="1">
        <v>3686</v>
      </c>
      <c r="B97" t="str">
        <f>"Nombre maestro "&amp;tDatosMaestros[[#This Row],[NO_CONTROL]]</f>
        <v>Nombre maestro 3686</v>
      </c>
      <c r="C97" t="s">
        <v>70</v>
      </c>
      <c r="D97" s="1">
        <v>2</v>
      </c>
      <c r="E97" s="1" t="s">
        <v>35</v>
      </c>
      <c r="F97" t="s">
        <v>9</v>
      </c>
      <c r="G97" t="s">
        <v>10</v>
      </c>
      <c r="H97">
        <f>IF(tDatosMaestros[[#This Row],[TIPO PROFESOR]]="HRS", 3,2)</f>
        <v>3</v>
      </c>
      <c r="J97">
        <v>0</v>
      </c>
    </row>
    <row r="98" spans="1:10" x14ac:dyDescent="0.25">
      <c r="A98" s="1">
        <v>3686</v>
      </c>
      <c r="B98" t="str">
        <f>"Nombre maestro "&amp;tDatosMaestros[[#This Row],[NO_CONTROL]]</f>
        <v>Nombre maestro 3686</v>
      </c>
      <c r="C98" t="s">
        <v>70</v>
      </c>
      <c r="D98" s="1">
        <v>2</v>
      </c>
      <c r="E98" s="1" t="s">
        <v>36</v>
      </c>
      <c r="F98" t="s">
        <v>9</v>
      </c>
      <c r="G98" t="s">
        <v>10</v>
      </c>
      <c r="H98">
        <f>IF(tDatosMaestros[[#This Row],[TIPO PROFESOR]]="HRS", 3,2)</f>
        <v>3</v>
      </c>
      <c r="J98">
        <v>0</v>
      </c>
    </row>
    <row r="99" spans="1:10" x14ac:dyDescent="0.25">
      <c r="A99" s="1">
        <v>3686</v>
      </c>
      <c r="B99" t="str">
        <f>"Nombre maestro "&amp;tDatosMaestros[[#This Row],[NO_CONTROL]]</f>
        <v>Nombre maestro 3686</v>
      </c>
      <c r="C99" t="s">
        <v>70</v>
      </c>
      <c r="D99" s="1">
        <v>2</v>
      </c>
      <c r="E99" s="1" t="s">
        <v>38</v>
      </c>
      <c r="F99" t="s">
        <v>9</v>
      </c>
      <c r="G99" t="s">
        <v>10</v>
      </c>
      <c r="H99">
        <f>IF(tDatosMaestros[[#This Row],[TIPO PROFESOR]]="HRS", 3,2)</f>
        <v>3</v>
      </c>
      <c r="J99">
        <v>0</v>
      </c>
    </row>
    <row r="100" spans="1:10" x14ac:dyDescent="0.25">
      <c r="A100" s="1">
        <v>3686</v>
      </c>
      <c r="B100" t="str">
        <f>"Nombre maestro "&amp;tDatosMaestros[[#This Row],[NO_CONTROL]]</f>
        <v>Nombre maestro 3686</v>
      </c>
      <c r="C100" t="s">
        <v>70</v>
      </c>
      <c r="D100" s="1">
        <v>2</v>
      </c>
      <c r="E100" s="1" t="s">
        <v>39</v>
      </c>
      <c r="F100" t="s">
        <v>9</v>
      </c>
      <c r="G100" t="s">
        <v>10</v>
      </c>
      <c r="H100">
        <f>IF(tDatosMaestros[[#This Row],[TIPO PROFESOR]]="HRS", 3,2)</f>
        <v>3</v>
      </c>
      <c r="J100">
        <v>0</v>
      </c>
    </row>
    <row r="101" spans="1:10" x14ac:dyDescent="0.25">
      <c r="A101" s="1">
        <v>3686</v>
      </c>
      <c r="B101" t="str">
        <f>"Nombre maestro "&amp;tDatosMaestros[[#This Row],[NO_CONTROL]]</f>
        <v>Nombre maestro 3686</v>
      </c>
      <c r="C101" t="s">
        <v>70</v>
      </c>
      <c r="D101" s="1">
        <v>2</v>
      </c>
      <c r="E101" s="1" t="s">
        <v>40</v>
      </c>
      <c r="F101" t="s">
        <v>9</v>
      </c>
      <c r="G101" t="s">
        <v>10</v>
      </c>
      <c r="H101">
        <f>IF(tDatosMaestros[[#This Row],[TIPO PROFESOR]]="HRS", 3,2)</f>
        <v>3</v>
      </c>
      <c r="J101">
        <v>0</v>
      </c>
    </row>
    <row r="102" spans="1:10" x14ac:dyDescent="0.25">
      <c r="A102" s="1">
        <v>3686</v>
      </c>
      <c r="B102" t="str">
        <f>"Nombre maestro "&amp;tDatosMaestros[[#This Row],[NO_CONTROL]]</f>
        <v>Nombre maestro 3686</v>
      </c>
      <c r="C102" t="s">
        <v>70</v>
      </c>
      <c r="D102" s="1">
        <v>2</v>
      </c>
      <c r="E102" s="1" t="s">
        <v>14</v>
      </c>
      <c r="F102" t="s">
        <v>9</v>
      </c>
      <c r="G102" t="s">
        <v>10</v>
      </c>
      <c r="H102">
        <f>IF(tDatosMaestros[[#This Row],[TIPO PROFESOR]]="HRS", 3,2)</f>
        <v>3</v>
      </c>
      <c r="J102">
        <v>0</v>
      </c>
    </row>
    <row r="103" spans="1:10" x14ac:dyDescent="0.25">
      <c r="A103" s="1">
        <v>3686</v>
      </c>
      <c r="B103" t="str">
        <f>"Nombre maestro "&amp;tDatosMaestros[[#This Row],[NO_CONTROL]]</f>
        <v>Nombre maestro 3686</v>
      </c>
      <c r="C103" t="s">
        <v>71</v>
      </c>
      <c r="D103" s="1">
        <v>2</v>
      </c>
      <c r="E103" s="1" t="s">
        <v>22</v>
      </c>
      <c r="F103" t="s">
        <v>9</v>
      </c>
      <c r="G103" t="s">
        <v>10</v>
      </c>
      <c r="H103">
        <f>IF(tDatosMaestros[[#This Row],[TIPO PROFESOR]]="HRS", 3,2)</f>
        <v>3</v>
      </c>
      <c r="J103">
        <v>0</v>
      </c>
    </row>
    <row r="104" spans="1:10" x14ac:dyDescent="0.25">
      <c r="A104" s="1">
        <v>3686</v>
      </c>
      <c r="B104" t="str">
        <f>"Nombre maestro "&amp;tDatosMaestros[[#This Row],[NO_CONTROL]]</f>
        <v>Nombre maestro 3686</v>
      </c>
      <c r="C104" t="s">
        <v>71</v>
      </c>
      <c r="D104" s="1">
        <v>2</v>
      </c>
      <c r="E104" s="1" t="s">
        <v>25</v>
      </c>
      <c r="F104" t="s">
        <v>9</v>
      </c>
      <c r="G104" t="s">
        <v>10</v>
      </c>
      <c r="H104">
        <f>IF(tDatosMaestros[[#This Row],[TIPO PROFESOR]]="HRS", 3,2)</f>
        <v>3</v>
      </c>
      <c r="J104">
        <v>0</v>
      </c>
    </row>
    <row r="105" spans="1:10" x14ac:dyDescent="0.25">
      <c r="A105" s="1">
        <v>3686</v>
      </c>
      <c r="B105" t="str">
        <f>"Nombre maestro "&amp;tDatosMaestros[[#This Row],[NO_CONTROL]]</f>
        <v>Nombre maestro 3686</v>
      </c>
      <c r="C105" t="s">
        <v>61</v>
      </c>
      <c r="D105" s="1">
        <v>4</v>
      </c>
      <c r="E105" s="1" t="s">
        <v>28</v>
      </c>
      <c r="F105" t="s">
        <v>9</v>
      </c>
      <c r="G105" t="s">
        <v>10</v>
      </c>
      <c r="H105">
        <f>IF(tDatosMaestros[[#This Row],[TIPO PROFESOR]]="HRS", 3,2)</f>
        <v>3</v>
      </c>
      <c r="J105">
        <v>0</v>
      </c>
    </row>
    <row r="106" spans="1:10" x14ac:dyDescent="0.25">
      <c r="A106" s="1">
        <v>5691</v>
      </c>
      <c r="B106" t="str">
        <f>"Nombre maestro "&amp;tDatosMaestros[[#This Row],[NO_CONTROL]]</f>
        <v>Nombre maestro 5691</v>
      </c>
      <c r="C106" t="s">
        <v>13</v>
      </c>
      <c r="D106" s="1">
        <v>4</v>
      </c>
      <c r="E106" s="1" t="s">
        <v>38</v>
      </c>
      <c r="F106" t="s">
        <v>9</v>
      </c>
      <c r="G106" t="s">
        <v>10</v>
      </c>
      <c r="H106">
        <f>IF(tDatosMaestros[[#This Row],[TIPO PROFESOR]]="HRS", 3,2)</f>
        <v>3</v>
      </c>
      <c r="J106">
        <v>0</v>
      </c>
    </row>
    <row r="107" spans="1:10" x14ac:dyDescent="0.25">
      <c r="A107" s="1">
        <v>5691</v>
      </c>
      <c r="B107" t="str">
        <f>"Nombre maestro "&amp;tDatosMaestros[[#This Row],[NO_CONTROL]]</f>
        <v>Nombre maestro 5691</v>
      </c>
      <c r="C107" t="s">
        <v>13</v>
      </c>
      <c r="D107" s="1">
        <v>4</v>
      </c>
      <c r="E107" s="1" t="s">
        <v>39</v>
      </c>
      <c r="F107" t="s">
        <v>9</v>
      </c>
      <c r="G107" t="s">
        <v>10</v>
      </c>
      <c r="H107">
        <f>IF(tDatosMaestros[[#This Row],[TIPO PROFESOR]]="HRS", 3,2)</f>
        <v>3</v>
      </c>
      <c r="J107">
        <v>0</v>
      </c>
    </row>
    <row r="108" spans="1:10" x14ac:dyDescent="0.25">
      <c r="A108" s="1">
        <v>5691</v>
      </c>
      <c r="B108" t="str">
        <f>"Nombre maestro "&amp;tDatosMaestros[[#This Row],[NO_CONTROL]]</f>
        <v>Nombre maestro 5691</v>
      </c>
      <c r="C108" t="s">
        <v>13</v>
      </c>
      <c r="D108" s="1">
        <v>4</v>
      </c>
      <c r="E108" s="1" t="s">
        <v>40</v>
      </c>
      <c r="F108" t="s">
        <v>9</v>
      </c>
      <c r="G108" t="s">
        <v>10</v>
      </c>
      <c r="H108">
        <f>IF(tDatosMaestros[[#This Row],[TIPO PROFESOR]]="HRS", 3,2)</f>
        <v>3</v>
      </c>
      <c r="J108">
        <v>0</v>
      </c>
    </row>
    <row r="109" spans="1:10" x14ac:dyDescent="0.25">
      <c r="A109" s="1">
        <v>1230</v>
      </c>
      <c r="B109" t="str">
        <f>"Nombre maestro "&amp;tDatosMaestros[[#This Row],[NO_CONTROL]]</f>
        <v>Nombre maestro 1230</v>
      </c>
      <c r="C109" t="s">
        <v>72</v>
      </c>
      <c r="D109" s="1">
        <v>5</v>
      </c>
      <c r="E109" s="1" t="s">
        <v>33</v>
      </c>
      <c r="F109" t="s">
        <v>9</v>
      </c>
      <c r="G109" t="s">
        <v>10</v>
      </c>
      <c r="H109">
        <f>IF(tDatosMaestros[[#This Row],[TIPO PROFESOR]]="HRS", 3,2)</f>
        <v>3</v>
      </c>
      <c r="J109">
        <v>0</v>
      </c>
    </row>
    <row r="110" spans="1:10" x14ac:dyDescent="0.25">
      <c r="A110" s="1">
        <v>1230</v>
      </c>
      <c r="B110" t="str">
        <f>"Nombre maestro "&amp;tDatosMaestros[[#This Row],[NO_CONTROL]]</f>
        <v>Nombre maestro 1230</v>
      </c>
      <c r="C110" t="s">
        <v>45</v>
      </c>
      <c r="D110" s="1">
        <v>4</v>
      </c>
      <c r="E110" s="1" t="s">
        <v>34</v>
      </c>
      <c r="F110" t="s">
        <v>9</v>
      </c>
      <c r="G110" t="s">
        <v>10</v>
      </c>
      <c r="H110">
        <f>IF(tDatosMaestros[[#This Row],[TIPO PROFESOR]]="HRS", 3,2)</f>
        <v>3</v>
      </c>
      <c r="J110">
        <v>0</v>
      </c>
    </row>
    <row r="111" spans="1:10" x14ac:dyDescent="0.25">
      <c r="A111" s="1">
        <v>1230</v>
      </c>
      <c r="B111" t="str">
        <f>"Nombre maestro "&amp;tDatosMaestros[[#This Row],[NO_CONTROL]]</f>
        <v>Nombre maestro 1230</v>
      </c>
      <c r="C111" t="s">
        <v>73</v>
      </c>
      <c r="D111" s="1">
        <v>5</v>
      </c>
      <c r="E111" s="1" t="s">
        <v>36</v>
      </c>
      <c r="F111" t="s">
        <v>9</v>
      </c>
      <c r="G111" t="s">
        <v>10</v>
      </c>
      <c r="H111">
        <f>IF(tDatosMaestros[[#This Row],[TIPO PROFESOR]]="HRS", 3,2)</f>
        <v>3</v>
      </c>
      <c r="J111">
        <v>0</v>
      </c>
    </row>
    <row r="112" spans="1:10" x14ac:dyDescent="0.25">
      <c r="A112" s="1">
        <v>1230</v>
      </c>
      <c r="B112" t="str">
        <f>"Nombre maestro "&amp;tDatosMaestros[[#This Row],[NO_CONTROL]]</f>
        <v>Nombre maestro 1230</v>
      </c>
      <c r="C112" t="s">
        <v>74</v>
      </c>
      <c r="D112" s="1">
        <v>4</v>
      </c>
      <c r="E112" s="1" t="s">
        <v>22</v>
      </c>
      <c r="F112" t="s">
        <v>9</v>
      </c>
      <c r="G112" t="s">
        <v>10</v>
      </c>
      <c r="H112">
        <f>IF(tDatosMaestros[[#This Row],[TIPO PROFESOR]]="HRS", 3,2)</f>
        <v>3</v>
      </c>
      <c r="J112">
        <v>0</v>
      </c>
    </row>
    <row r="113" spans="1:10" x14ac:dyDescent="0.25">
      <c r="A113" s="1">
        <v>1230</v>
      </c>
      <c r="B113" t="str">
        <f>"Nombre maestro "&amp;tDatosMaestros[[#This Row],[NO_CONTROL]]</f>
        <v>Nombre maestro 1230</v>
      </c>
      <c r="C113" t="s">
        <v>74</v>
      </c>
      <c r="D113" s="1">
        <v>4</v>
      </c>
      <c r="E113" s="1" t="s">
        <v>24</v>
      </c>
      <c r="F113" t="s">
        <v>9</v>
      </c>
      <c r="G113" t="s">
        <v>10</v>
      </c>
      <c r="H113">
        <f>IF(tDatosMaestros[[#This Row],[TIPO PROFESOR]]="HRS", 3,2)</f>
        <v>3</v>
      </c>
      <c r="J113">
        <v>0</v>
      </c>
    </row>
    <row r="114" spans="1:10" x14ac:dyDescent="0.25">
      <c r="A114" s="1">
        <v>1230</v>
      </c>
      <c r="B114" t="str">
        <f>"Nombre maestro "&amp;tDatosMaestros[[#This Row],[NO_CONTROL]]</f>
        <v>Nombre maestro 1230</v>
      </c>
      <c r="C114" t="s">
        <v>74</v>
      </c>
      <c r="D114" s="1">
        <v>4</v>
      </c>
      <c r="E114" s="1" t="s">
        <v>25</v>
      </c>
      <c r="F114" t="s">
        <v>9</v>
      </c>
      <c r="G114" t="s">
        <v>10</v>
      </c>
      <c r="H114">
        <f>IF(tDatosMaestros[[#This Row],[TIPO PROFESOR]]="HRS", 3,2)</f>
        <v>3</v>
      </c>
      <c r="J114">
        <v>0</v>
      </c>
    </row>
    <row r="115" spans="1:10" x14ac:dyDescent="0.25">
      <c r="A115" s="1">
        <v>1230</v>
      </c>
      <c r="B115" t="str">
        <f>"Nombre maestro "&amp;tDatosMaestros[[#This Row],[NO_CONTROL]]</f>
        <v>Nombre maestro 1230</v>
      </c>
      <c r="C115" t="s">
        <v>74</v>
      </c>
      <c r="D115" s="1">
        <v>4</v>
      </c>
      <c r="E115" s="1" t="s">
        <v>26</v>
      </c>
      <c r="F115" t="s">
        <v>9</v>
      </c>
      <c r="G115" t="s">
        <v>10</v>
      </c>
      <c r="H115">
        <f>IF(tDatosMaestros[[#This Row],[TIPO PROFESOR]]="HRS", 3,2)</f>
        <v>3</v>
      </c>
      <c r="J115">
        <v>0</v>
      </c>
    </row>
    <row r="116" spans="1:10" x14ac:dyDescent="0.25">
      <c r="A116" s="1">
        <v>4802</v>
      </c>
      <c r="B116" t="str">
        <f>"Nombre maestro "&amp;tDatosMaestros[[#This Row],[NO_CONTROL]]</f>
        <v>Nombre maestro 4802</v>
      </c>
      <c r="C116" t="s">
        <v>75</v>
      </c>
      <c r="D116" s="1">
        <v>4</v>
      </c>
      <c r="E116" s="1" t="s">
        <v>28</v>
      </c>
      <c r="F116" t="s">
        <v>9</v>
      </c>
      <c r="G116" t="s">
        <v>10</v>
      </c>
      <c r="H116">
        <f>IF(tDatosMaestros[[#This Row],[TIPO PROFESOR]]="HRS", 3,2)</f>
        <v>3</v>
      </c>
      <c r="J116">
        <v>0</v>
      </c>
    </row>
    <row r="117" spans="1:10" x14ac:dyDescent="0.25">
      <c r="A117" s="1">
        <v>4802</v>
      </c>
      <c r="B117" t="str">
        <f>"Nombre maestro "&amp;tDatosMaestros[[#This Row],[NO_CONTROL]]</f>
        <v>Nombre maestro 4802</v>
      </c>
      <c r="C117" t="s">
        <v>75</v>
      </c>
      <c r="D117" s="1">
        <v>4</v>
      </c>
      <c r="E117" s="1" t="s">
        <v>29</v>
      </c>
      <c r="F117" t="s">
        <v>9</v>
      </c>
      <c r="G117" t="s">
        <v>10</v>
      </c>
      <c r="H117">
        <f>IF(tDatosMaestros[[#This Row],[TIPO PROFESOR]]="HRS", 3,2)</f>
        <v>3</v>
      </c>
      <c r="J117">
        <v>0</v>
      </c>
    </row>
    <row r="118" spans="1:10" x14ac:dyDescent="0.25">
      <c r="A118" s="1">
        <v>4802</v>
      </c>
      <c r="B118" t="str">
        <f>"Nombre maestro "&amp;tDatosMaestros[[#This Row],[NO_CONTROL]]</f>
        <v>Nombre maestro 4802</v>
      </c>
      <c r="C118" t="s">
        <v>75</v>
      </c>
      <c r="D118" s="1">
        <v>4</v>
      </c>
      <c r="E118" s="1" t="s">
        <v>51</v>
      </c>
      <c r="F118" t="s">
        <v>9</v>
      </c>
      <c r="G118" t="s">
        <v>10</v>
      </c>
      <c r="H118">
        <f>IF(tDatosMaestros[[#This Row],[TIPO PROFESOR]]="HRS", 3,2)</f>
        <v>3</v>
      </c>
      <c r="J118">
        <v>0</v>
      </c>
    </row>
    <row r="119" spans="1:10" x14ac:dyDescent="0.25">
      <c r="A119" s="1">
        <v>4802</v>
      </c>
      <c r="B119" t="str">
        <f>"Nombre maestro "&amp;tDatosMaestros[[#This Row],[NO_CONTROL]]</f>
        <v>Nombre maestro 4802</v>
      </c>
      <c r="C119" t="s">
        <v>75</v>
      </c>
      <c r="D119" s="1">
        <v>4</v>
      </c>
      <c r="E119" s="1" t="s">
        <v>52</v>
      </c>
      <c r="F119" t="s">
        <v>9</v>
      </c>
      <c r="G119" t="s">
        <v>10</v>
      </c>
      <c r="H119">
        <f>IF(tDatosMaestros[[#This Row],[TIPO PROFESOR]]="HRS", 3,2)</f>
        <v>3</v>
      </c>
      <c r="J119">
        <v>0</v>
      </c>
    </row>
    <row r="120" spans="1:10" x14ac:dyDescent="0.25">
      <c r="A120" s="1">
        <v>1374</v>
      </c>
      <c r="B120" t="str">
        <f>"Nombre maestro "&amp;tDatosMaestros[[#This Row],[NO_CONTROL]]</f>
        <v>Nombre maestro 1374</v>
      </c>
      <c r="C120" t="s">
        <v>48</v>
      </c>
      <c r="D120" s="1">
        <v>4</v>
      </c>
      <c r="E120" s="1" t="s">
        <v>52</v>
      </c>
      <c r="F120" t="s">
        <v>9</v>
      </c>
      <c r="G120" t="s">
        <v>10</v>
      </c>
      <c r="H120">
        <f>IF(tDatosMaestros[[#This Row],[TIPO PROFESOR]]="HRS", 3,2)</f>
        <v>3</v>
      </c>
      <c r="J120">
        <v>0</v>
      </c>
    </row>
    <row r="121" spans="1:10" x14ac:dyDescent="0.25">
      <c r="A121" s="1">
        <v>1374</v>
      </c>
      <c r="B121" t="str">
        <f>"Nombre maestro "&amp;tDatosMaestros[[#This Row],[NO_CONTROL]]</f>
        <v>Nombre maestro 1374</v>
      </c>
      <c r="C121" t="s">
        <v>63</v>
      </c>
      <c r="D121" s="1">
        <v>4</v>
      </c>
      <c r="E121" s="1" t="s">
        <v>51</v>
      </c>
      <c r="F121" t="s">
        <v>9</v>
      </c>
      <c r="G121" t="s">
        <v>10</v>
      </c>
      <c r="H121">
        <f>IF(tDatosMaestros[[#This Row],[TIPO PROFESOR]]="HRS", 3,2)</f>
        <v>3</v>
      </c>
      <c r="J121">
        <v>0</v>
      </c>
    </row>
    <row r="122" spans="1:10" x14ac:dyDescent="0.25">
      <c r="A122" s="1">
        <v>6024</v>
      </c>
      <c r="B122" t="str">
        <f>"Nombre maestro "&amp;tDatosMaestros[[#This Row],[NO_CONTROL]]</f>
        <v>Nombre maestro 6024</v>
      </c>
      <c r="C122" t="s">
        <v>77</v>
      </c>
      <c r="D122" s="1">
        <v>4</v>
      </c>
      <c r="E122" s="1" t="s">
        <v>38</v>
      </c>
      <c r="F122" t="s">
        <v>9</v>
      </c>
      <c r="G122" t="s">
        <v>10</v>
      </c>
      <c r="H122">
        <f>IF(tDatosMaestros[[#This Row],[TIPO PROFESOR]]="HRS", 3,2)</f>
        <v>3</v>
      </c>
      <c r="J122">
        <v>0</v>
      </c>
    </row>
    <row r="123" spans="1:10" x14ac:dyDescent="0.25">
      <c r="A123" s="1">
        <v>6024</v>
      </c>
      <c r="B123" t="str">
        <f>"Nombre maestro "&amp;tDatosMaestros[[#This Row],[NO_CONTROL]]</f>
        <v>Nombre maestro 6024</v>
      </c>
      <c r="C123" t="s">
        <v>77</v>
      </c>
      <c r="D123" s="1">
        <v>4</v>
      </c>
      <c r="E123" s="1" t="s">
        <v>39</v>
      </c>
      <c r="F123" t="s">
        <v>9</v>
      </c>
      <c r="G123" t="s">
        <v>10</v>
      </c>
      <c r="H123">
        <f>IF(tDatosMaestros[[#This Row],[TIPO PROFESOR]]="HRS", 3,2)</f>
        <v>3</v>
      </c>
      <c r="J123">
        <v>0</v>
      </c>
    </row>
    <row r="124" spans="1:10" x14ac:dyDescent="0.25">
      <c r="A124" s="1">
        <v>6024</v>
      </c>
      <c r="B124" t="str">
        <f>"Nombre maestro "&amp;tDatosMaestros[[#This Row],[NO_CONTROL]]</f>
        <v>Nombre maestro 6024</v>
      </c>
      <c r="C124" t="s">
        <v>77</v>
      </c>
      <c r="D124" s="1">
        <v>4</v>
      </c>
      <c r="E124" s="1" t="s">
        <v>40</v>
      </c>
      <c r="F124" t="s">
        <v>9</v>
      </c>
      <c r="G124" t="s">
        <v>10</v>
      </c>
      <c r="H124">
        <f>IF(tDatosMaestros[[#This Row],[TIPO PROFESOR]]="HRS", 3,2)</f>
        <v>3</v>
      </c>
      <c r="J124">
        <v>0</v>
      </c>
    </row>
    <row r="125" spans="1:10" x14ac:dyDescent="0.25">
      <c r="A125" s="1">
        <v>6024</v>
      </c>
      <c r="B125" t="str">
        <f>"Nombre maestro "&amp;tDatosMaestros[[#This Row],[NO_CONTROL]]</f>
        <v>Nombre maestro 6024</v>
      </c>
      <c r="C125" t="s">
        <v>77</v>
      </c>
      <c r="D125" s="1">
        <v>4</v>
      </c>
      <c r="E125" s="1" t="s">
        <v>14</v>
      </c>
      <c r="F125" t="s">
        <v>9</v>
      </c>
      <c r="G125" t="s">
        <v>10</v>
      </c>
      <c r="H125">
        <f>IF(tDatosMaestros[[#This Row],[TIPO PROFESOR]]="HRS", 3,2)</f>
        <v>3</v>
      </c>
      <c r="J125">
        <v>0</v>
      </c>
    </row>
    <row r="126" spans="1:10" x14ac:dyDescent="0.25">
      <c r="A126" s="1">
        <v>5625</v>
      </c>
      <c r="B126" t="str">
        <f>"Nombre maestro "&amp;tDatosMaestros[[#This Row],[NO_CONTROL]]</f>
        <v>Nombre maestro 5625</v>
      </c>
      <c r="C126" t="s">
        <v>7</v>
      </c>
      <c r="D126" s="1">
        <v>4</v>
      </c>
      <c r="E126" s="1" t="s">
        <v>31</v>
      </c>
      <c r="F126" t="s">
        <v>9</v>
      </c>
      <c r="G126" t="s">
        <v>10</v>
      </c>
      <c r="H126">
        <f>IF(tDatosMaestros[[#This Row],[TIPO PROFESOR]]="HRS", 3,2)</f>
        <v>3</v>
      </c>
      <c r="J126">
        <v>0</v>
      </c>
    </row>
    <row r="127" spans="1:10" x14ac:dyDescent="0.25">
      <c r="A127" s="1">
        <v>5625</v>
      </c>
      <c r="B127" t="str">
        <f>"Nombre maestro "&amp;tDatosMaestros[[#This Row],[NO_CONTROL]]</f>
        <v>Nombre maestro 5625</v>
      </c>
      <c r="C127" t="s">
        <v>7</v>
      </c>
      <c r="D127" s="1">
        <v>4</v>
      </c>
      <c r="E127" s="1" t="s">
        <v>16</v>
      </c>
      <c r="F127" t="s">
        <v>9</v>
      </c>
      <c r="G127" t="s">
        <v>10</v>
      </c>
      <c r="H127">
        <f>IF(tDatosMaestros[[#This Row],[TIPO PROFESOR]]="HRS", 3,2)</f>
        <v>3</v>
      </c>
      <c r="J127">
        <v>0</v>
      </c>
    </row>
    <row r="128" spans="1:10" x14ac:dyDescent="0.25">
      <c r="A128" s="1">
        <v>5625</v>
      </c>
      <c r="B128" t="str">
        <f>"Nombre maestro "&amp;tDatosMaestros[[#This Row],[NO_CONTROL]]</f>
        <v>Nombre maestro 5625</v>
      </c>
      <c r="C128" t="s">
        <v>78</v>
      </c>
      <c r="D128" s="1">
        <v>4</v>
      </c>
      <c r="E128" s="1" t="s">
        <v>38</v>
      </c>
      <c r="F128" t="s">
        <v>9</v>
      </c>
      <c r="G128" t="s">
        <v>10</v>
      </c>
      <c r="H128">
        <f>IF(tDatosMaestros[[#This Row],[TIPO PROFESOR]]="HRS", 3,2)</f>
        <v>3</v>
      </c>
      <c r="J128">
        <v>0</v>
      </c>
    </row>
    <row r="129" spans="1:10" x14ac:dyDescent="0.25">
      <c r="A129" s="1">
        <v>5625</v>
      </c>
      <c r="B129" t="str">
        <f>"Nombre maestro "&amp;tDatosMaestros[[#This Row],[NO_CONTROL]]</f>
        <v>Nombre maestro 5625</v>
      </c>
      <c r="C129" t="s">
        <v>19</v>
      </c>
      <c r="D129" s="1">
        <v>4</v>
      </c>
      <c r="E129" s="1" t="s">
        <v>8</v>
      </c>
      <c r="F129" t="s">
        <v>9</v>
      </c>
      <c r="G129" t="s">
        <v>10</v>
      </c>
      <c r="H129">
        <f>IF(tDatosMaestros[[#This Row],[TIPO PROFESOR]]="HRS", 3,2)</f>
        <v>3</v>
      </c>
      <c r="J129">
        <v>0</v>
      </c>
    </row>
    <row r="130" spans="1:10" x14ac:dyDescent="0.25">
      <c r="A130" s="1">
        <v>5625</v>
      </c>
      <c r="B130" t="str">
        <f>"Nombre maestro "&amp;tDatosMaestros[[#This Row],[NO_CONTROL]]</f>
        <v>Nombre maestro 5625</v>
      </c>
      <c r="C130" t="s">
        <v>19</v>
      </c>
      <c r="D130" s="1">
        <v>4</v>
      </c>
      <c r="E130" s="1" t="s">
        <v>17</v>
      </c>
      <c r="F130" t="s">
        <v>9</v>
      </c>
      <c r="G130" t="s">
        <v>10</v>
      </c>
      <c r="H130">
        <f>IF(tDatosMaestros[[#This Row],[TIPO PROFESOR]]="HRS", 3,2)</f>
        <v>3</v>
      </c>
      <c r="J130">
        <v>0</v>
      </c>
    </row>
    <row r="131" spans="1:10" x14ac:dyDescent="0.25">
      <c r="A131" s="1">
        <v>5625</v>
      </c>
      <c r="B131" t="str">
        <f>"Nombre maestro "&amp;tDatosMaestros[[#This Row],[NO_CONTROL]]</f>
        <v>Nombre maestro 5625</v>
      </c>
      <c r="C131" t="s">
        <v>19</v>
      </c>
      <c r="D131" s="1">
        <v>4</v>
      </c>
      <c r="E131" s="1" t="s">
        <v>47</v>
      </c>
      <c r="F131" t="s">
        <v>9</v>
      </c>
      <c r="G131" t="s">
        <v>10</v>
      </c>
      <c r="H131">
        <f>IF(tDatosMaestros[[#This Row],[TIPO PROFESOR]]="HRS", 3,2)</f>
        <v>3</v>
      </c>
      <c r="J131">
        <v>0</v>
      </c>
    </row>
    <row r="132" spans="1:10" x14ac:dyDescent="0.25">
      <c r="A132" s="1">
        <v>6030</v>
      </c>
      <c r="B132" t="str">
        <f>"Nombre maestro "&amp;tDatosMaestros[[#This Row],[NO_CONTROL]]</f>
        <v>Nombre maestro 6030</v>
      </c>
      <c r="C132" t="s">
        <v>78</v>
      </c>
      <c r="D132" s="1">
        <v>4</v>
      </c>
      <c r="E132" s="1" t="s">
        <v>39</v>
      </c>
      <c r="F132" t="s">
        <v>9</v>
      </c>
      <c r="G132" t="s">
        <v>10</v>
      </c>
      <c r="H132">
        <f>IF(tDatosMaestros[[#This Row],[TIPO PROFESOR]]="HRS", 3,2)</f>
        <v>3</v>
      </c>
      <c r="J132">
        <v>0</v>
      </c>
    </row>
    <row r="133" spans="1:10" x14ac:dyDescent="0.25">
      <c r="A133" s="1">
        <v>6030</v>
      </c>
      <c r="B133" t="str">
        <f>"Nombre maestro "&amp;tDatosMaestros[[#This Row],[NO_CONTROL]]</f>
        <v>Nombre maestro 6030</v>
      </c>
      <c r="C133" t="s">
        <v>78</v>
      </c>
      <c r="D133" s="1">
        <v>4</v>
      </c>
      <c r="E133" s="1" t="s">
        <v>40</v>
      </c>
      <c r="F133" t="s">
        <v>9</v>
      </c>
      <c r="G133" t="s">
        <v>10</v>
      </c>
      <c r="H133">
        <f>IF(tDatosMaestros[[#This Row],[TIPO PROFESOR]]="HRS", 3,2)</f>
        <v>3</v>
      </c>
      <c r="J133">
        <v>0</v>
      </c>
    </row>
    <row r="134" spans="1:10" x14ac:dyDescent="0.25">
      <c r="A134" s="1">
        <v>6030</v>
      </c>
      <c r="B134" t="str">
        <f>"Nombre maestro "&amp;tDatosMaestros[[#This Row],[NO_CONTROL]]</f>
        <v>Nombre maestro 6030</v>
      </c>
      <c r="C134" t="s">
        <v>78</v>
      </c>
      <c r="D134" s="1">
        <v>4</v>
      </c>
      <c r="E134" s="1" t="s">
        <v>14</v>
      </c>
      <c r="F134" t="s">
        <v>9</v>
      </c>
      <c r="G134" t="s">
        <v>10</v>
      </c>
      <c r="H134">
        <f>IF(tDatosMaestros[[#This Row],[TIPO PROFESOR]]="HRS", 3,2)</f>
        <v>3</v>
      </c>
      <c r="J134">
        <v>0</v>
      </c>
    </row>
    <row r="135" spans="1:10" x14ac:dyDescent="0.25">
      <c r="A135" s="1">
        <v>6030</v>
      </c>
      <c r="B135" t="str">
        <f>"Nombre maestro "&amp;tDatosMaestros[[#This Row],[NO_CONTROL]]</f>
        <v>Nombre maestro 6030</v>
      </c>
      <c r="C135" t="s">
        <v>79</v>
      </c>
      <c r="D135" s="1">
        <v>4</v>
      </c>
      <c r="E135" s="1" t="s">
        <v>31</v>
      </c>
      <c r="F135" t="s">
        <v>9</v>
      </c>
      <c r="G135" t="s">
        <v>10</v>
      </c>
      <c r="H135">
        <f>IF(tDatosMaestros[[#This Row],[TIPO PROFESOR]]="HRS", 3,2)</f>
        <v>3</v>
      </c>
      <c r="J135">
        <v>0</v>
      </c>
    </row>
    <row r="136" spans="1:10" x14ac:dyDescent="0.25">
      <c r="A136" s="1">
        <v>6030</v>
      </c>
      <c r="B136" t="str">
        <f>"Nombre maestro "&amp;tDatosMaestros[[#This Row],[NO_CONTROL]]</f>
        <v>Nombre maestro 6030</v>
      </c>
      <c r="C136" t="s">
        <v>7</v>
      </c>
      <c r="D136" s="1">
        <v>4</v>
      </c>
      <c r="E136" s="1" t="s">
        <v>47</v>
      </c>
      <c r="F136" t="s">
        <v>9</v>
      </c>
      <c r="G136" t="s">
        <v>10</v>
      </c>
      <c r="H136">
        <f>IF(tDatosMaestros[[#This Row],[TIPO PROFESOR]]="HRS", 3,2)</f>
        <v>3</v>
      </c>
      <c r="J136">
        <v>0</v>
      </c>
    </row>
    <row r="137" spans="1:10" x14ac:dyDescent="0.25">
      <c r="A137" s="1">
        <v>7457</v>
      </c>
      <c r="B137" t="str">
        <f>"Nombre maestro "&amp;tDatosMaestros[[#This Row],[NO_CONTROL]]</f>
        <v>Nombre maestro 7457</v>
      </c>
      <c r="C137" t="s">
        <v>61</v>
      </c>
      <c r="D137" s="1">
        <v>4</v>
      </c>
      <c r="E137" s="1" t="s">
        <v>29</v>
      </c>
      <c r="F137" t="s">
        <v>9</v>
      </c>
      <c r="G137" t="s">
        <v>10</v>
      </c>
      <c r="H137">
        <f>IF(tDatosMaestros[[#This Row],[TIPO PROFESOR]]="HRS", 3,2)</f>
        <v>3</v>
      </c>
      <c r="J137">
        <v>0</v>
      </c>
    </row>
    <row r="138" spans="1:10" x14ac:dyDescent="0.25">
      <c r="A138" s="1">
        <v>7457</v>
      </c>
      <c r="B138" t="str">
        <f>"Nombre maestro "&amp;tDatosMaestros[[#This Row],[NO_CONTROL]]</f>
        <v>Nombre maestro 7457</v>
      </c>
      <c r="C138" t="s">
        <v>61</v>
      </c>
      <c r="D138" s="1">
        <v>4</v>
      </c>
      <c r="E138" s="1" t="s">
        <v>52</v>
      </c>
      <c r="F138" t="s">
        <v>9</v>
      </c>
      <c r="G138" t="s">
        <v>10</v>
      </c>
      <c r="H138">
        <f>IF(tDatosMaestros[[#This Row],[TIPO PROFESOR]]="HRS", 3,2)</f>
        <v>3</v>
      </c>
      <c r="J138">
        <v>0</v>
      </c>
    </row>
    <row r="139" spans="1:10" x14ac:dyDescent="0.25">
      <c r="A139" s="1">
        <v>3010</v>
      </c>
      <c r="B139" t="str">
        <f>"Nombre maestro "&amp;tDatosMaestros[[#This Row],[NO_CONTROL]]</f>
        <v>Nombre maestro 3010</v>
      </c>
      <c r="C139" t="s">
        <v>60</v>
      </c>
      <c r="D139" s="1">
        <v>4</v>
      </c>
      <c r="E139" s="1" t="s">
        <v>8</v>
      </c>
      <c r="F139" t="s">
        <v>9</v>
      </c>
      <c r="G139" t="s">
        <v>10</v>
      </c>
      <c r="H139">
        <f>IF(tDatosMaestros[[#This Row],[TIPO PROFESOR]]="HRS", 3,2)</f>
        <v>3</v>
      </c>
      <c r="J139">
        <v>0</v>
      </c>
    </row>
    <row r="140" spans="1:10" x14ac:dyDescent="0.25">
      <c r="A140" s="1">
        <v>3010</v>
      </c>
      <c r="B140" t="str">
        <f>"Nombre maestro "&amp;tDatosMaestros[[#This Row],[NO_CONTROL]]</f>
        <v>Nombre maestro 3010</v>
      </c>
      <c r="C140" t="s">
        <v>80</v>
      </c>
      <c r="D140" s="1">
        <v>5</v>
      </c>
      <c r="E140" s="1" t="s">
        <v>24</v>
      </c>
      <c r="F140" t="s">
        <v>9</v>
      </c>
      <c r="G140" t="s">
        <v>10</v>
      </c>
      <c r="H140">
        <f>IF(tDatosMaestros[[#This Row],[TIPO PROFESOR]]="HRS", 3,2)</f>
        <v>3</v>
      </c>
      <c r="J140">
        <v>0</v>
      </c>
    </row>
    <row r="141" spans="1:10" x14ac:dyDescent="0.25">
      <c r="A141" s="1">
        <v>3010</v>
      </c>
      <c r="B141" t="str">
        <f>"Nombre maestro "&amp;tDatosMaestros[[#This Row],[NO_CONTROL]]</f>
        <v>Nombre maestro 3010</v>
      </c>
      <c r="C141" t="s">
        <v>80</v>
      </c>
      <c r="D141" s="1">
        <v>5</v>
      </c>
      <c r="E141" s="1" t="s">
        <v>26</v>
      </c>
      <c r="F141" t="s">
        <v>9</v>
      </c>
      <c r="G141" t="s">
        <v>10</v>
      </c>
      <c r="H141">
        <f>IF(tDatosMaestros[[#This Row],[TIPO PROFESOR]]="HRS", 3,2)</f>
        <v>3</v>
      </c>
      <c r="J141">
        <v>0</v>
      </c>
    </row>
    <row r="142" spans="1:10" x14ac:dyDescent="0.25">
      <c r="A142" s="1">
        <v>3010</v>
      </c>
      <c r="B142" t="str">
        <f>"Nombre maestro "&amp;tDatosMaestros[[#This Row],[NO_CONTROL]]</f>
        <v>Nombre maestro 3010</v>
      </c>
      <c r="C142" t="s">
        <v>81</v>
      </c>
      <c r="D142" s="1">
        <v>4</v>
      </c>
      <c r="E142" s="1" t="s">
        <v>25</v>
      </c>
      <c r="F142" t="s">
        <v>9</v>
      </c>
      <c r="G142" t="s">
        <v>10</v>
      </c>
      <c r="H142">
        <f>IF(tDatosMaestros[[#This Row],[TIPO PROFESOR]]="HRS", 3,2)</f>
        <v>3</v>
      </c>
      <c r="J142">
        <v>0</v>
      </c>
    </row>
    <row r="143" spans="1:10" x14ac:dyDescent="0.25">
      <c r="A143" s="1">
        <v>3010</v>
      </c>
      <c r="B143" t="str">
        <f>"Nombre maestro "&amp;tDatosMaestros[[#This Row],[NO_CONTROL]]</f>
        <v>Nombre maestro 3010</v>
      </c>
      <c r="C143" t="s">
        <v>82</v>
      </c>
      <c r="D143" s="1">
        <v>4</v>
      </c>
      <c r="E143" s="1" t="s">
        <v>25</v>
      </c>
      <c r="F143" t="s">
        <v>9</v>
      </c>
      <c r="G143" t="s">
        <v>10</v>
      </c>
      <c r="H143">
        <f>IF(tDatosMaestros[[#This Row],[TIPO PROFESOR]]="HRS", 3,2)</f>
        <v>3</v>
      </c>
      <c r="J143">
        <v>0</v>
      </c>
    </row>
    <row r="144" spans="1:10" x14ac:dyDescent="0.25">
      <c r="A144" s="1">
        <v>4318</v>
      </c>
      <c r="B144" t="str">
        <f>"Nombre maestro "&amp;tDatosMaestros[[#This Row],[NO_CONTROL]]</f>
        <v>Nombre maestro 4318</v>
      </c>
      <c r="C144" t="s">
        <v>83</v>
      </c>
      <c r="D144" s="1">
        <v>5</v>
      </c>
      <c r="E144" s="1" t="s">
        <v>40</v>
      </c>
      <c r="F144" t="s">
        <v>9</v>
      </c>
      <c r="G144" t="s">
        <v>10</v>
      </c>
      <c r="H144">
        <f>IF(tDatosMaestros[[#This Row],[TIPO PROFESOR]]="HRS", 3,2)</f>
        <v>3</v>
      </c>
      <c r="J144">
        <v>0</v>
      </c>
    </row>
    <row r="145" spans="1:10" x14ac:dyDescent="0.25">
      <c r="A145" s="1">
        <v>4318</v>
      </c>
      <c r="B145" t="str">
        <f>"Nombre maestro "&amp;tDatosMaestros[[#This Row],[NO_CONTROL]]</f>
        <v>Nombre maestro 4318</v>
      </c>
      <c r="C145" t="s">
        <v>55</v>
      </c>
      <c r="D145" s="1">
        <v>5</v>
      </c>
      <c r="E145" s="1" t="s">
        <v>40</v>
      </c>
      <c r="F145" t="s">
        <v>9</v>
      </c>
      <c r="G145" t="s">
        <v>10</v>
      </c>
      <c r="H145">
        <f>IF(tDatosMaestros[[#This Row],[TIPO PROFESOR]]="HRS", 3,2)</f>
        <v>3</v>
      </c>
      <c r="J145">
        <v>0</v>
      </c>
    </row>
    <row r="146" spans="1:10" x14ac:dyDescent="0.25">
      <c r="A146" s="1">
        <v>4318</v>
      </c>
      <c r="B146" t="str">
        <f>"Nombre maestro "&amp;tDatosMaestros[[#This Row],[NO_CONTROL]]</f>
        <v>Nombre maestro 4318</v>
      </c>
      <c r="C146" t="s">
        <v>55</v>
      </c>
      <c r="D146" s="1">
        <v>5</v>
      </c>
      <c r="E146" s="1" t="s">
        <v>14</v>
      </c>
      <c r="F146" t="s">
        <v>9</v>
      </c>
      <c r="G146" t="s">
        <v>10</v>
      </c>
      <c r="H146">
        <f>IF(tDatosMaestros[[#This Row],[TIPO PROFESOR]]="HRS", 3,2)</f>
        <v>3</v>
      </c>
      <c r="J146">
        <v>2</v>
      </c>
    </row>
    <row r="147" spans="1:10" x14ac:dyDescent="0.25">
      <c r="A147" s="1">
        <v>4318</v>
      </c>
      <c r="B147" t="str">
        <f>"Nombre maestro "&amp;tDatosMaestros[[#This Row],[NO_CONTROL]]</f>
        <v>Nombre maestro 4318</v>
      </c>
      <c r="C147" t="s">
        <v>71</v>
      </c>
      <c r="D147" s="1">
        <v>2</v>
      </c>
      <c r="E147" s="1" t="s">
        <v>24</v>
      </c>
      <c r="F147" t="s">
        <v>9</v>
      </c>
      <c r="G147" t="s">
        <v>10</v>
      </c>
      <c r="H147">
        <f>IF(tDatosMaestros[[#This Row],[TIPO PROFESOR]]="HRS", 3,2)</f>
        <v>3</v>
      </c>
      <c r="J147">
        <v>0</v>
      </c>
    </row>
    <row r="148" spans="1:10" x14ac:dyDescent="0.25">
      <c r="A148" s="1">
        <v>4318</v>
      </c>
      <c r="B148" t="str">
        <f>"Nombre maestro "&amp;tDatosMaestros[[#This Row],[NO_CONTROL]]</f>
        <v>Nombre maestro 4318</v>
      </c>
      <c r="C148" t="s">
        <v>71</v>
      </c>
      <c r="D148" s="1">
        <v>2</v>
      </c>
      <c r="E148" s="1" t="s">
        <v>26</v>
      </c>
      <c r="F148" t="s">
        <v>9</v>
      </c>
      <c r="G148" t="s">
        <v>10</v>
      </c>
      <c r="H148">
        <f>IF(tDatosMaestros[[#This Row],[TIPO PROFESOR]]="HRS", 3,2)</f>
        <v>3</v>
      </c>
      <c r="J148">
        <v>0</v>
      </c>
    </row>
    <row r="149" spans="1:10" x14ac:dyDescent="0.25">
      <c r="A149" s="1">
        <v>5212</v>
      </c>
      <c r="B149" t="str">
        <f>"Nombre maestro "&amp;tDatosMaestros[[#This Row],[NO_CONTROL]]</f>
        <v>Nombre maestro 5212</v>
      </c>
      <c r="C149" t="s">
        <v>41</v>
      </c>
      <c r="D149" s="1">
        <v>5</v>
      </c>
      <c r="E149" s="1" t="s">
        <v>40</v>
      </c>
      <c r="F149" t="s">
        <v>9</v>
      </c>
      <c r="G149" t="s">
        <v>10</v>
      </c>
      <c r="H149">
        <f>IF(tDatosMaestros[[#This Row],[TIPO PROFESOR]]="HRS", 3,2)</f>
        <v>3</v>
      </c>
      <c r="J149">
        <v>0</v>
      </c>
    </row>
    <row r="150" spans="1:10" x14ac:dyDescent="0.25">
      <c r="A150" s="1">
        <v>5212</v>
      </c>
      <c r="B150" t="str">
        <f>"Nombre maestro "&amp;tDatosMaestros[[#This Row],[NO_CONTROL]]</f>
        <v>Nombre maestro 5212</v>
      </c>
      <c r="C150" t="s">
        <v>27</v>
      </c>
      <c r="D150" s="1">
        <v>5</v>
      </c>
      <c r="E150" s="1" t="s">
        <v>24</v>
      </c>
      <c r="F150" t="s">
        <v>9</v>
      </c>
      <c r="G150" t="s">
        <v>10</v>
      </c>
      <c r="H150">
        <f>IF(tDatosMaestros[[#This Row],[TIPO PROFESOR]]="HRS", 3,2)</f>
        <v>3</v>
      </c>
      <c r="J150">
        <v>0</v>
      </c>
    </row>
    <row r="151" spans="1:10" x14ac:dyDescent="0.25">
      <c r="A151" s="2">
        <v>76</v>
      </c>
      <c r="B151" s="3" t="str">
        <f>"Nombre maestro "&amp;tDatosMaestros[[#This Row],[NO_CONTROL]]</f>
        <v>Nombre maestro 76</v>
      </c>
      <c r="C151" s="3" t="s">
        <v>21</v>
      </c>
      <c r="D151" s="2">
        <v>5</v>
      </c>
      <c r="E151" s="2" t="s">
        <v>22</v>
      </c>
      <c r="F151" s="3" t="s">
        <v>9</v>
      </c>
      <c r="G151" s="3" t="s">
        <v>23</v>
      </c>
      <c r="H151" s="3">
        <f>IF(tDatosMaestros[[#This Row],[TIPO PROFESOR]]="HRS", 3,2)</f>
        <v>2</v>
      </c>
      <c r="J151">
        <v>0</v>
      </c>
    </row>
    <row r="152" spans="1:10" x14ac:dyDescent="0.25">
      <c r="A152" s="2">
        <v>76</v>
      </c>
      <c r="B152" s="3" t="str">
        <f>"Nombre maestro "&amp;tDatosMaestros[[#This Row],[NO_CONTROL]]</f>
        <v>Nombre maestro 76</v>
      </c>
      <c r="C152" s="3" t="s">
        <v>21</v>
      </c>
      <c r="D152" s="2">
        <v>5</v>
      </c>
      <c r="E152" s="2" t="s">
        <v>24</v>
      </c>
      <c r="F152" s="3" t="s">
        <v>9</v>
      </c>
      <c r="G152" s="3" t="s">
        <v>23</v>
      </c>
      <c r="H152" s="3">
        <f>IF(tDatosMaestros[[#This Row],[TIPO PROFESOR]]="HRS", 3,2)</f>
        <v>2</v>
      </c>
      <c r="J152">
        <v>0</v>
      </c>
    </row>
    <row r="153" spans="1:10" x14ac:dyDescent="0.25">
      <c r="A153" s="2">
        <v>76</v>
      </c>
      <c r="B153" s="3" t="str">
        <f>"Nombre maestro "&amp;tDatosMaestros[[#This Row],[NO_CONTROL]]</f>
        <v>Nombre maestro 76</v>
      </c>
      <c r="C153" s="3" t="s">
        <v>21</v>
      </c>
      <c r="D153" s="2">
        <v>5</v>
      </c>
      <c r="E153" s="2" t="s">
        <v>25</v>
      </c>
      <c r="F153" s="3" t="s">
        <v>9</v>
      </c>
      <c r="G153" s="3" t="s">
        <v>23</v>
      </c>
      <c r="H153" s="3">
        <f>IF(tDatosMaestros[[#This Row],[TIPO PROFESOR]]="HRS", 3,2)</f>
        <v>2</v>
      </c>
      <c r="J153">
        <v>0</v>
      </c>
    </row>
    <row r="154" spans="1:10" x14ac:dyDescent="0.25">
      <c r="A154" s="2">
        <v>76</v>
      </c>
      <c r="B154" s="3" t="str">
        <f>"Nombre maestro "&amp;tDatosMaestros[[#This Row],[NO_CONTROL]]</f>
        <v>Nombre maestro 76</v>
      </c>
      <c r="C154" s="3" t="s">
        <v>21</v>
      </c>
      <c r="D154" s="2">
        <v>5</v>
      </c>
      <c r="E154" s="2" t="s">
        <v>26</v>
      </c>
      <c r="F154" s="3" t="s">
        <v>9</v>
      </c>
      <c r="G154" s="3" t="s">
        <v>23</v>
      </c>
      <c r="H154" s="3">
        <f>IF(tDatosMaestros[[#This Row],[TIPO PROFESOR]]="HRS", 3,2)</f>
        <v>2</v>
      </c>
      <c r="J154">
        <v>0</v>
      </c>
    </row>
    <row r="155" spans="1:10" x14ac:dyDescent="0.25">
      <c r="A155" s="2">
        <v>76</v>
      </c>
      <c r="B155" s="3" t="str">
        <f>"Nombre maestro "&amp;tDatosMaestros[[#This Row],[NO_CONTROL]]</f>
        <v>Nombre maestro 76</v>
      </c>
      <c r="C155" s="3" t="s">
        <v>27</v>
      </c>
      <c r="D155" s="2">
        <v>5</v>
      </c>
      <c r="E155" s="2" t="s">
        <v>28</v>
      </c>
      <c r="F155" s="3" t="s">
        <v>9</v>
      </c>
      <c r="G155" s="3" t="s">
        <v>23</v>
      </c>
      <c r="H155" s="3">
        <f>IF(tDatosMaestros[[#This Row],[TIPO PROFESOR]]="HRS", 3,2)</f>
        <v>2</v>
      </c>
      <c r="J155">
        <v>0</v>
      </c>
    </row>
    <row r="156" spans="1:10" x14ac:dyDescent="0.25">
      <c r="A156" s="2">
        <v>76</v>
      </c>
      <c r="B156" s="3" t="str">
        <f>"Nombre maestro "&amp;tDatosMaestros[[#This Row],[NO_CONTROL]]</f>
        <v>Nombre maestro 76</v>
      </c>
      <c r="C156" s="3" t="s">
        <v>27</v>
      </c>
      <c r="D156" s="2">
        <v>5</v>
      </c>
      <c r="E156" s="2" t="s">
        <v>29</v>
      </c>
      <c r="F156" s="3" t="s">
        <v>9</v>
      </c>
      <c r="G156" s="3" t="s">
        <v>23</v>
      </c>
      <c r="H156" s="3">
        <f>IF(tDatosMaestros[[#This Row],[TIPO PROFESOR]]="HRS", 3,2)</f>
        <v>2</v>
      </c>
      <c r="J156">
        <v>1</v>
      </c>
    </row>
    <row r="157" spans="1:10" x14ac:dyDescent="0.25">
      <c r="A157" s="4">
        <v>141</v>
      </c>
      <c r="B157" s="5" t="str">
        <f>"Nombre maestro "&amp;tDatosMaestros[[#This Row],[NO_CONTROL]]</f>
        <v>Nombre maestro 141</v>
      </c>
      <c r="C157" s="5" t="s">
        <v>30</v>
      </c>
      <c r="D157" s="4">
        <v>2</v>
      </c>
      <c r="E157" s="4" t="s">
        <v>12</v>
      </c>
      <c r="F157" s="5" t="s">
        <v>9</v>
      </c>
      <c r="G157" s="5" t="s">
        <v>23</v>
      </c>
      <c r="H157" s="5">
        <f>IF(tDatosMaestros[[#This Row],[TIPO PROFESOR]]="HRS", 3,2)</f>
        <v>2</v>
      </c>
      <c r="J157">
        <v>0</v>
      </c>
    </row>
    <row r="158" spans="1:10" x14ac:dyDescent="0.25">
      <c r="A158" s="4">
        <v>141</v>
      </c>
      <c r="B158" s="5" t="str">
        <f>"Nombre maestro "&amp;tDatosMaestros[[#This Row],[NO_CONTROL]]</f>
        <v>Nombre maestro 141</v>
      </c>
      <c r="C158" s="5" t="s">
        <v>30</v>
      </c>
      <c r="D158" s="4">
        <v>2</v>
      </c>
      <c r="E158" s="4" t="s">
        <v>31</v>
      </c>
      <c r="F158" s="5" t="s">
        <v>9</v>
      </c>
      <c r="G158" s="5" t="s">
        <v>23</v>
      </c>
      <c r="H158" s="5">
        <f>IF(tDatosMaestros[[#This Row],[TIPO PROFESOR]]="HRS", 3,2)</f>
        <v>2</v>
      </c>
      <c r="J158">
        <v>0</v>
      </c>
    </row>
    <row r="159" spans="1:10" x14ac:dyDescent="0.25">
      <c r="A159" s="4">
        <v>141</v>
      </c>
      <c r="B159" s="5" t="str">
        <f>"Nombre maestro "&amp;tDatosMaestros[[#This Row],[NO_CONTROL]]</f>
        <v>Nombre maestro 141</v>
      </c>
      <c r="C159" s="5" t="s">
        <v>30</v>
      </c>
      <c r="D159" s="4">
        <v>2</v>
      </c>
      <c r="E159" s="4" t="s">
        <v>20</v>
      </c>
      <c r="F159" s="5" t="s">
        <v>9</v>
      </c>
      <c r="G159" s="5" t="s">
        <v>23</v>
      </c>
      <c r="H159" s="5">
        <f>IF(tDatosMaestros[[#This Row],[TIPO PROFESOR]]="HRS", 3,2)</f>
        <v>2</v>
      </c>
      <c r="J159">
        <v>0</v>
      </c>
    </row>
    <row r="160" spans="1:10" x14ac:dyDescent="0.25">
      <c r="A160" s="4">
        <v>141</v>
      </c>
      <c r="B160" s="5" t="str">
        <f>"Nombre maestro "&amp;tDatosMaestros[[#This Row],[NO_CONTROL]]</f>
        <v>Nombre maestro 141</v>
      </c>
      <c r="C160" s="5" t="s">
        <v>30</v>
      </c>
      <c r="D160" s="4">
        <v>2</v>
      </c>
      <c r="E160" s="4" t="s">
        <v>16</v>
      </c>
      <c r="F160" s="5" t="s">
        <v>9</v>
      </c>
      <c r="G160" s="5" t="s">
        <v>23</v>
      </c>
      <c r="H160" s="5">
        <f>IF(tDatosMaestros[[#This Row],[TIPO PROFESOR]]="HRS", 3,2)</f>
        <v>2</v>
      </c>
      <c r="J160">
        <v>0</v>
      </c>
    </row>
    <row r="161" spans="1:10" x14ac:dyDescent="0.25">
      <c r="A161" s="4">
        <v>141</v>
      </c>
      <c r="B161" s="5" t="str">
        <f>"Nombre maestro "&amp;tDatosMaestros[[#This Row],[NO_CONTROL]]</f>
        <v>Nombre maestro 141</v>
      </c>
      <c r="C161" s="5" t="s">
        <v>30</v>
      </c>
      <c r="D161" s="4">
        <v>2</v>
      </c>
      <c r="E161" s="4" t="s">
        <v>8</v>
      </c>
      <c r="F161" s="5" t="s">
        <v>9</v>
      </c>
      <c r="G161" s="5" t="s">
        <v>23</v>
      </c>
      <c r="H161" s="5">
        <f>IF(tDatosMaestros[[#This Row],[TIPO PROFESOR]]="HRS", 3,2)</f>
        <v>2</v>
      </c>
      <c r="J161">
        <v>0</v>
      </c>
    </row>
    <row r="162" spans="1:10" x14ac:dyDescent="0.25">
      <c r="A162" s="4">
        <v>141</v>
      </c>
      <c r="B162" s="5" t="str">
        <f>"Nombre maestro "&amp;tDatosMaestros[[#This Row],[NO_CONTROL]]</f>
        <v>Nombre maestro 141</v>
      </c>
      <c r="C162" s="5" t="s">
        <v>30</v>
      </c>
      <c r="D162" s="4">
        <v>2</v>
      </c>
      <c r="E162" s="4" t="s">
        <v>17</v>
      </c>
      <c r="F162" s="5" t="s">
        <v>9</v>
      </c>
      <c r="G162" s="5" t="s">
        <v>23</v>
      </c>
      <c r="H162" s="5">
        <f>IF(tDatosMaestros[[#This Row],[TIPO PROFESOR]]="HRS", 3,2)</f>
        <v>2</v>
      </c>
      <c r="J162">
        <v>0</v>
      </c>
    </row>
    <row r="163" spans="1:10" x14ac:dyDescent="0.25">
      <c r="A163" s="4">
        <v>141</v>
      </c>
      <c r="B163" s="5" t="str">
        <f>"Nombre maestro "&amp;tDatosMaestros[[#This Row],[NO_CONTROL]]</f>
        <v>Nombre maestro 141</v>
      </c>
      <c r="C163" s="5" t="s">
        <v>30</v>
      </c>
      <c r="D163" s="4">
        <v>2</v>
      </c>
      <c r="E163" s="4" t="s">
        <v>18</v>
      </c>
      <c r="F163" s="5" t="s">
        <v>9</v>
      </c>
      <c r="G163" s="5" t="s">
        <v>23</v>
      </c>
      <c r="H163" s="5">
        <f>IF(tDatosMaestros[[#This Row],[TIPO PROFESOR]]="HRS", 3,2)</f>
        <v>2</v>
      </c>
      <c r="J163">
        <v>0</v>
      </c>
    </row>
    <row r="164" spans="1:10" x14ac:dyDescent="0.25">
      <c r="A164" s="4">
        <v>141</v>
      </c>
      <c r="B164" s="5" t="str">
        <f>"Nombre maestro "&amp;tDatosMaestros[[#This Row],[NO_CONTROL]]</f>
        <v>Nombre maestro 141</v>
      </c>
      <c r="C164" s="5" t="s">
        <v>32</v>
      </c>
      <c r="D164" s="4">
        <v>2</v>
      </c>
      <c r="E164" s="4" t="s">
        <v>33</v>
      </c>
      <c r="F164" s="5" t="s">
        <v>9</v>
      </c>
      <c r="G164" s="5" t="s">
        <v>23</v>
      </c>
      <c r="H164" s="5">
        <f>IF(tDatosMaestros[[#This Row],[TIPO PROFESOR]]="HRS", 3,2)</f>
        <v>2</v>
      </c>
      <c r="J164">
        <v>0</v>
      </c>
    </row>
    <row r="165" spans="1:10" x14ac:dyDescent="0.25">
      <c r="A165" s="4">
        <v>141</v>
      </c>
      <c r="B165" s="5" t="str">
        <f>"Nombre maestro "&amp;tDatosMaestros[[#This Row],[NO_CONTROL]]</f>
        <v>Nombre maestro 141</v>
      </c>
      <c r="C165" s="5" t="s">
        <v>32</v>
      </c>
      <c r="D165" s="4">
        <v>2</v>
      </c>
      <c r="E165" s="4" t="s">
        <v>34</v>
      </c>
      <c r="F165" s="5" t="s">
        <v>9</v>
      </c>
      <c r="G165" s="5" t="s">
        <v>23</v>
      </c>
      <c r="H165" s="5">
        <f>IF(tDatosMaestros[[#This Row],[TIPO PROFESOR]]="HRS", 3,2)</f>
        <v>2</v>
      </c>
      <c r="J165">
        <v>0</v>
      </c>
    </row>
    <row r="166" spans="1:10" x14ac:dyDescent="0.25">
      <c r="A166" s="4">
        <v>141</v>
      </c>
      <c r="B166" s="5" t="str">
        <f>"Nombre maestro "&amp;tDatosMaestros[[#This Row],[NO_CONTROL]]</f>
        <v>Nombre maestro 141</v>
      </c>
      <c r="C166" s="5" t="s">
        <v>32</v>
      </c>
      <c r="D166" s="4">
        <v>2</v>
      </c>
      <c r="E166" s="4" t="s">
        <v>35</v>
      </c>
      <c r="F166" s="5" t="s">
        <v>9</v>
      </c>
      <c r="G166" s="5" t="s">
        <v>23</v>
      </c>
      <c r="H166" s="5">
        <f>IF(tDatosMaestros[[#This Row],[TIPO PROFESOR]]="HRS", 3,2)</f>
        <v>2</v>
      </c>
      <c r="J166">
        <v>0</v>
      </c>
    </row>
    <row r="167" spans="1:10" x14ac:dyDescent="0.25">
      <c r="A167" s="4">
        <v>141</v>
      </c>
      <c r="B167" s="5" t="str">
        <f>"Nombre maestro "&amp;tDatosMaestros[[#This Row],[NO_CONTROL]]</f>
        <v>Nombre maestro 141</v>
      </c>
      <c r="C167" s="5" t="s">
        <v>32</v>
      </c>
      <c r="D167" s="4">
        <v>2</v>
      </c>
      <c r="E167" s="4" t="s">
        <v>36</v>
      </c>
      <c r="F167" s="5" t="s">
        <v>9</v>
      </c>
      <c r="G167" s="5" t="s">
        <v>23</v>
      </c>
      <c r="H167" s="5">
        <f>IF(tDatosMaestros[[#This Row],[TIPO PROFESOR]]="HRS", 3,2)</f>
        <v>2</v>
      </c>
      <c r="J167">
        <v>0</v>
      </c>
    </row>
    <row r="168" spans="1:10" x14ac:dyDescent="0.25">
      <c r="A168" s="4">
        <v>141</v>
      </c>
      <c r="B168" s="5" t="str">
        <f>"Nombre maestro "&amp;tDatosMaestros[[#This Row],[NO_CONTROL]]</f>
        <v>Nombre maestro 141</v>
      </c>
      <c r="C168" s="5" t="s">
        <v>37</v>
      </c>
      <c r="D168" s="4">
        <v>2</v>
      </c>
      <c r="E168" s="4" t="s">
        <v>38</v>
      </c>
      <c r="F168" s="5" t="s">
        <v>9</v>
      </c>
      <c r="G168" s="5" t="s">
        <v>23</v>
      </c>
      <c r="H168" s="5">
        <f>IF(tDatosMaestros[[#This Row],[TIPO PROFESOR]]="HRS", 3,2)</f>
        <v>2</v>
      </c>
      <c r="J168">
        <v>1</v>
      </c>
    </row>
    <row r="169" spans="1:10" x14ac:dyDescent="0.25">
      <c r="A169" s="4">
        <v>141</v>
      </c>
      <c r="B169" s="5" t="str">
        <f>"Nombre maestro "&amp;tDatosMaestros[[#This Row],[NO_CONTROL]]</f>
        <v>Nombre maestro 141</v>
      </c>
      <c r="C169" s="5" t="s">
        <v>37</v>
      </c>
      <c r="D169" s="4">
        <v>2</v>
      </c>
      <c r="E169" s="4" t="s">
        <v>39</v>
      </c>
      <c r="F169" s="5" t="s">
        <v>9</v>
      </c>
      <c r="G169" s="5" t="s">
        <v>23</v>
      </c>
      <c r="H169" s="5">
        <f>IF(tDatosMaestros[[#This Row],[TIPO PROFESOR]]="HRS", 3,2)</f>
        <v>2</v>
      </c>
      <c r="J169">
        <v>2</v>
      </c>
    </row>
    <row r="170" spans="1:10" x14ac:dyDescent="0.25">
      <c r="A170" s="4">
        <v>141</v>
      </c>
      <c r="B170" s="5" t="str">
        <f>"Nombre maestro "&amp;tDatosMaestros[[#This Row],[NO_CONTROL]]</f>
        <v>Nombre maestro 141</v>
      </c>
      <c r="C170" s="5" t="s">
        <v>37</v>
      </c>
      <c r="D170" s="4">
        <v>2</v>
      </c>
      <c r="E170" s="4" t="s">
        <v>39</v>
      </c>
      <c r="F170" s="5" t="s">
        <v>9</v>
      </c>
      <c r="G170" s="5" t="s">
        <v>23</v>
      </c>
      <c r="H170" s="5">
        <f>IF(tDatosMaestros[[#This Row],[TIPO PROFESOR]]="HRS", 3,2)</f>
        <v>2</v>
      </c>
      <c r="J170">
        <v>2</v>
      </c>
    </row>
    <row r="171" spans="1:10" x14ac:dyDescent="0.25">
      <c r="A171" s="4">
        <v>141</v>
      </c>
      <c r="B171" s="5" t="str">
        <f>"Nombre maestro "&amp;tDatosMaestros[[#This Row],[NO_CONTROL]]</f>
        <v>Nombre maestro 141</v>
      </c>
      <c r="C171" s="5" t="s">
        <v>37</v>
      </c>
      <c r="D171" s="4">
        <v>2</v>
      </c>
      <c r="E171" s="4" t="s">
        <v>40</v>
      </c>
      <c r="F171" s="5" t="s">
        <v>9</v>
      </c>
      <c r="G171" s="5" t="s">
        <v>23</v>
      </c>
      <c r="H171" s="5">
        <f>IF(tDatosMaestros[[#This Row],[TIPO PROFESOR]]="HRS", 3,2)</f>
        <v>2</v>
      </c>
      <c r="J171">
        <v>2</v>
      </c>
    </row>
    <row r="172" spans="1:10" x14ac:dyDescent="0.25">
      <c r="A172" s="4">
        <v>141</v>
      </c>
      <c r="B172" s="5" t="str">
        <f>"Nombre maestro "&amp;tDatosMaestros[[#This Row],[NO_CONTROL]]</f>
        <v>Nombre maestro 141</v>
      </c>
      <c r="C172" s="5" t="s">
        <v>37</v>
      </c>
      <c r="D172" s="4">
        <v>2</v>
      </c>
      <c r="E172" s="4" t="s">
        <v>14</v>
      </c>
      <c r="F172" s="5" t="s">
        <v>9</v>
      </c>
      <c r="G172" s="5" t="s">
        <v>23</v>
      </c>
      <c r="H172" s="5">
        <f>IF(tDatosMaestros[[#This Row],[TIPO PROFESOR]]="HRS", 3,2)</f>
        <v>2</v>
      </c>
      <c r="J172">
        <v>0</v>
      </c>
    </row>
    <row r="173" spans="1:10" x14ac:dyDescent="0.25">
      <c r="A173" s="2">
        <v>5155</v>
      </c>
      <c r="B173" s="3" t="str">
        <f>"Nombre maestro "&amp;tDatosMaestros[[#This Row],[NO_CONTROL]]</f>
        <v>Nombre maestro 5155</v>
      </c>
      <c r="C173" s="3" t="s">
        <v>11</v>
      </c>
      <c r="D173" s="2">
        <v>4</v>
      </c>
      <c r="E173" s="2" t="s">
        <v>20</v>
      </c>
      <c r="F173" s="3" t="s">
        <v>9</v>
      </c>
      <c r="G173" s="3" t="s">
        <v>23</v>
      </c>
      <c r="H173" s="3">
        <f>IF(tDatosMaestros[[#This Row],[TIPO PROFESOR]]="HRS", 3,2)</f>
        <v>2</v>
      </c>
      <c r="J173">
        <v>0</v>
      </c>
    </row>
    <row r="174" spans="1:10" x14ac:dyDescent="0.25">
      <c r="A174" s="2">
        <v>5155</v>
      </c>
      <c r="B174" s="3" t="str">
        <f>"Nombre maestro "&amp;tDatosMaestros[[#This Row],[NO_CONTROL]]</f>
        <v>Nombre maestro 5155</v>
      </c>
      <c r="C174" s="3" t="s">
        <v>11</v>
      </c>
      <c r="D174" s="2">
        <v>4</v>
      </c>
      <c r="E174" s="2" t="s">
        <v>16</v>
      </c>
      <c r="F174" s="3" t="s">
        <v>9</v>
      </c>
      <c r="G174" s="3" t="s">
        <v>23</v>
      </c>
      <c r="H174" s="3">
        <f>IF(tDatosMaestros[[#This Row],[TIPO PROFESOR]]="HRS", 3,2)</f>
        <v>2</v>
      </c>
      <c r="J174">
        <v>0</v>
      </c>
    </row>
    <row r="175" spans="1:10" x14ac:dyDescent="0.25">
      <c r="A175" s="2">
        <v>5155</v>
      </c>
      <c r="B175" s="3" t="str">
        <f>"Nombre maestro "&amp;tDatosMaestros[[#This Row],[NO_CONTROL]]</f>
        <v>Nombre maestro 5155</v>
      </c>
      <c r="C175" s="3" t="s">
        <v>11</v>
      </c>
      <c r="D175" s="2">
        <v>4</v>
      </c>
      <c r="E175" s="2" t="s">
        <v>8</v>
      </c>
      <c r="F175" s="3" t="s">
        <v>9</v>
      </c>
      <c r="G175" s="3" t="s">
        <v>23</v>
      </c>
      <c r="H175" s="3">
        <f>IF(tDatosMaestros[[#This Row],[TIPO PROFESOR]]="HRS", 3,2)</f>
        <v>2</v>
      </c>
      <c r="J175">
        <v>0</v>
      </c>
    </row>
    <row r="176" spans="1:10" x14ac:dyDescent="0.25">
      <c r="A176" s="2">
        <v>5707</v>
      </c>
      <c r="B176" s="3" t="str">
        <f>"Nombre maestro "&amp;tDatosMaestros[[#This Row],[NO_CONTROL]]</f>
        <v>Nombre maestro 5707</v>
      </c>
      <c r="C176" s="3" t="s">
        <v>64</v>
      </c>
      <c r="D176" s="2">
        <v>5</v>
      </c>
      <c r="E176" s="2" t="s">
        <v>35</v>
      </c>
      <c r="F176" s="3" t="s">
        <v>9</v>
      </c>
      <c r="G176" s="3" t="s">
        <v>23</v>
      </c>
      <c r="H176" s="3">
        <f>IF(tDatosMaestros[[#This Row],[TIPO PROFESOR]]="HRS", 3,2)</f>
        <v>2</v>
      </c>
      <c r="J176">
        <v>0</v>
      </c>
    </row>
    <row r="177" spans="1:10" x14ac:dyDescent="0.25">
      <c r="A177" s="2">
        <v>5707</v>
      </c>
      <c r="B177" s="3" t="str">
        <f>"Nombre maestro "&amp;tDatosMaestros[[#This Row],[NO_CONTROL]]</f>
        <v>Nombre maestro 5707</v>
      </c>
      <c r="C177" s="3" t="s">
        <v>65</v>
      </c>
      <c r="D177" s="2">
        <v>5</v>
      </c>
      <c r="E177" s="2" t="s">
        <v>25</v>
      </c>
      <c r="F177" s="3" t="s">
        <v>9</v>
      </c>
      <c r="G177" s="3" t="s">
        <v>23</v>
      </c>
      <c r="H177" s="3">
        <f>IF(tDatosMaestros[[#This Row],[TIPO PROFESOR]]="HRS", 3,2)</f>
        <v>2</v>
      </c>
      <c r="J177">
        <v>0</v>
      </c>
    </row>
    <row r="178" spans="1:10" x14ac:dyDescent="0.25">
      <c r="A178" s="2">
        <v>5707</v>
      </c>
      <c r="B178" s="3" t="str">
        <f>"Nombre maestro "&amp;tDatosMaestros[[#This Row],[NO_CONTROL]]</f>
        <v>Nombre maestro 5707</v>
      </c>
      <c r="C178" s="3" t="s">
        <v>66</v>
      </c>
      <c r="D178" s="2">
        <v>5</v>
      </c>
      <c r="E178" s="2" t="s">
        <v>24</v>
      </c>
      <c r="F178" s="3" t="s">
        <v>9</v>
      </c>
      <c r="G178" s="3" t="s">
        <v>23</v>
      </c>
      <c r="H178" s="3">
        <f>IF(tDatosMaestros[[#This Row],[TIPO PROFESOR]]="HRS", 3,2)</f>
        <v>2</v>
      </c>
      <c r="J178">
        <v>0</v>
      </c>
    </row>
    <row r="179" spans="1:10" x14ac:dyDescent="0.25">
      <c r="A179" s="2">
        <v>5707</v>
      </c>
      <c r="B179" s="3" t="str">
        <f>"Nombre maestro "&amp;tDatosMaestros[[#This Row],[NO_CONTROL]]</f>
        <v>Nombre maestro 5707</v>
      </c>
      <c r="C179" s="3" t="s">
        <v>66</v>
      </c>
      <c r="D179" s="2">
        <v>5</v>
      </c>
      <c r="E179" s="2" t="s">
        <v>26</v>
      </c>
      <c r="F179" s="3" t="s">
        <v>9</v>
      </c>
      <c r="G179" s="3" t="s">
        <v>23</v>
      </c>
      <c r="H179" s="3">
        <f>IF(tDatosMaestros[[#This Row],[TIPO PROFESOR]]="HRS", 3,2)</f>
        <v>2</v>
      </c>
      <c r="J179">
        <v>0</v>
      </c>
    </row>
    <row r="180" spans="1:10" x14ac:dyDescent="0.25">
      <c r="A180" s="2">
        <v>5707</v>
      </c>
      <c r="B180" s="3" t="str">
        <f>"Nombre maestro "&amp;tDatosMaestros[[#This Row],[NO_CONTROL]]</f>
        <v>Nombre maestro 5707</v>
      </c>
      <c r="C180" s="3" t="s">
        <v>67</v>
      </c>
      <c r="D180" s="2">
        <v>5</v>
      </c>
      <c r="E180" s="2" t="s">
        <v>34</v>
      </c>
      <c r="F180" s="3" t="s">
        <v>9</v>
      </c>
      <c r="G180" s="3" t="s">
        <v>23</v>
      </c>
      <c r="H180" s="3">
        <f>IF(tDatosMaestros[[#This Row],[TIPO PROFESOR]]="HRS", 3,2)</f>
        <v>2</v>
      </c>
      <c r="J180">
        <v>1</v>
      </c>
    </row>
    <row r="181" spans="1:10" x14ac:dyDescent="0.25">
      <c r="A181" s="2">
        <v>5707</v>
      </c>
      <c r="B181" s="3" t="str">
        <f>"Nombre maestro "&amp;tDatosMaestros[[#This Row],[NO_CONTROL]]</f>
        <v>Nombre maestro 5707</v>
      </c>
      <c r="C181" s="3" t="s">
        <v>67</v>
      </c>
      <c r="D181" s="2">
        <v>5</v>
      </c>
      <c r="E181" s="2" t="s">
        <v>36</v>
      </c>
      <c r="F181" s="3" t="s">
        <v>9</v>
      </c>
      <c r="G181" s="3" t="s">
        <v>23</v>
      </c>
      <c r="H181" s="3">
        <f>IF(tDatosMaestros[[#This Row],[TIPO PROFESOR]]="HRS", 3,2)</f>
        <v>2</v>
      </c>
      <c r="J181">
        <v>4</v>
      </c>
    </row>
    <row r="182" spans="1:10" x14ac:dyDescent="0.25">
      <c r="A182" s="2">
        <v>1260</v>
      </c>
      <c r="B182" s="3" t="str">
        <f>"Nombre maestro "&amp;tDatosMaestros[[#This Row],[NO_CONTROL]]</f>
        <v>Nombre maestro 1260</v>
      </c>
      <c r="C182" s="3" t="s">
        <v>76</v>
      </c>
      <c r="D182" s="2">
        <v>5</v>
      </c>
      <c r="E182" s="2" t="s">
        <v>33</v>
      </c>
      <c r="F182" s="3" t="s">
        <v>9</v>
      </c>
      <c r="G182" s="3" t="s">
        <v>23</v>
      </c>
      <c r="H182" s="3">
        <f>IF(tDatosMaestros[[#This Row],[TIPO PROFESOR]]="HRS", 3,2)</f>
        <v>2</v>
      </c>
      <c r="J182">
        <v>0</v>
      </c>
    </row>
    <row r="183" spans="1:10" x14ac:dyDescent="0.25">
      <c r="A183" s="2">
        <v>1260</v>
      </c>
      <c r="B183" s="3" t="str">
        <f>"Nombre maestro "&amp;tDatosMaestros[[#This Row],[NO_CONTROL]]</f>
        <v>Nombre maestro 1260</v>
      </c>
      <c r="C183" s="3" t="s">
        <v>76</v>
      </c>
      <c r="D183" s="2">
        <v>5</v>
      </c>
      <c r="E183" s="2" t="s">
        <v>34</v>
      </c>
      <c r="F183" s="3" t="s">
        <v>9</v>
      </c>
      <c r="G183" s="3" t="s">
        <v>23</v>
      </c>
      <c r="H183" s="3">
        <f>IF(tDatosMaestros[[#This Row],[TIPO PROFESOR]]="HRS", 3,2)</f>
        <v>2</v>
      </c>
      <c r="J183">
        <v>1</v>
      </c>
    </row>
    <row r="184" spans="1:10" x14ac:dyDescent="0.25">
      <c r="A184" s="2">
        <v>1260</v>
      </c>
      <c r="B184" s="3" t="str">
        <f>"Nombre maestro "&amp;tDatosMaestros[[#This Row],[NO_CONTROL]]</f>
        <v>Nombre maestro 1260</v>
      </c>
      <c r="C184" s="3" t="s">
        <v>76</v>
      </c>
      <c r="D184" s="2">
        <v>5</v>
      </c>
      <c r="E184" s="2" t="s">
        <v>35</v>
      </c>
      <c r="F184" s="3" t="s">
        <v>9</v>
      </c>
      <c r="G184" s="3" t="s">
        <v>23</v>
      </c>
      <c r="H184" s="3">
        <f>IF(tDatosMaestros[[#This Row],[TIPO PROFESOR]]="HRS", 3,2)</f>
        <v>2</v>
      </c>
      <c r="J184">
        <v>2</v>
      </c>
    </row>
    <row r="185" spans="1:10" x14ac:dyDescent="0.25">
      <c r="A185" s="2">
        <v>1260</v>
      </c>
      <c r="B185" s="3" t="str">
        <f>"Nombre maestro "&amp;tDatosMaestros[[#This Row],[NO_CONTROL]]</f>
        <v>Nombre maestro 1260</v>
      </c>
      <c r="C185" s="3" t="s">
        <v>76</v>
      </c>
      <c r="D185" s="2">
        <v>5</v>
      </c>
      <c r="E185" s="2" t="s">
        <v>36</v>
      </c>
      <c r="F185" s="3" t="s">
        <v>9</v>
      </c>
      <c r="G185" s="3" t="s">
        <v>23</v>
      </c>
      <c r="H185" s="3">
        <f>IF(tDatosMaestros[[#This Row],[TIPO PROFESOR]]="HRS", 3,2)</f>
        <v>2</v>
      </c>
      <c r="J185">
        <v>3</v>
      </c>
    </row>
    <row r="186" spans="1:10" x14ac:dyDescent="0.25">
      <c r="A186" s="2">
        <v>1260</v>
      </c>
      <c r="B186" s="3" t="str">
        <f>"Nombre maestro "&amp;tDatosMaestros[[#This Row],[NO_CONTROL]]</f>
        <v>Nombre maestro 1260</v>
      </c>
      <c r="C186" s="3" t="s">
        <v>68</v>
      </c>
      <c r="D186" s="2">
        <v>5</v>
      </c>
      <c r="E186" s="2" t="s">
        <v>38</v>
      </c>
      <c r="F186" s="3" t="s">
        <v>9</v>
      </c>
      <c r="G186" s="3" t="s">
        <v>23</v>
      </c>
      <c r="H186" s="3">
        <f>IF(tDatosMaestros[[#This Row],[TIPO PROFESOR]]="HRS", 3,2)</f>
        <v>2</v>
      </c>
      <c r="J186">
        <v>5</v>
      </c>
    </row>
    <row r="187" spans="1:10" x14ac:dyDescent="0.25">
      <c r="A187" s="2">
        <v>1260</v>
      </c>
      <c r="B187" s="3" t="str">
        <f>"Nombre maestro "&amp;tDatosMaestros[[#This Row],[NO_CONTROL]]</f>
        <v>Nombre maestro 1260</v>
      </c>
      <c r="C187" s="3" t="s">
        <v>68</v>
      </c>
      <c r="D187" s="2">
        <v>5</v>
      </c>
      <c r="E187" s="2" t="s">
        <v>39</v>
      </c>
      <c r="F187" s="3" t="s">
        <v>9</v>
      </c>
      <c r="G187" s="3" t="s">
        <v>23</v>
      </c>
      <c r="H187" s="3">
        <f>IF(tDatosMaestros[[#This Row],[TIPO PROFESOR]]="HRS", 3,2)</f>
        <v>2</v>
      </c>
      <c r="J187">
        <v>4</v>
      </c>
    </row>
    <row r="188" spans="1:10" x14ac:dyDescent="0.25">
      <c r="A188" s="2">
        <v>4407</v>
      </c>
      <c r="B188" s="3" t="str">
        <f>"Nombre maestro "&amp;tDatosMaestros[[#This Row],[NO_CONTROL]]</f>
        <v>Nombre maestro 4407</v>
      </c>
      <c r="C188" s="3" t="s">
        <v>27</v>
      </c>
      <c r="D188" s="2">
        <v>5</v>
      </c>
      <c r="E188" s="2" t="s">
        <v>25</v>
      </c>
      <c r="F188" s="3" t="s">
        <v>9</v>
      </c>
      <c r="G188" s="3" t="s">
        <v>23</v>
      </c>
      <c r="H188" s="3">
        <f>IF(tDatosMaestros[[#This Row],[TIPO PROFESOR]]="HRS", 3,2)</f>
        <v>2</v>
      </c>
      <c r="J188">
        <v>0</v>
      </c>
    </row>
    <row r="189" spans="1:10" x14ac:dyDescent="0.25">
      <c r="A189" s="2">
        <v>4407</v>
      </c>
      <c r="B189" s="3" t="str">
        <f>"Nombre maestro "&amp;tDatosMaestros[[#This Row],[NO_CONTROL]]</f>
        <v>Nombre maestro 4407</v>
      </c>
      <c r="C189" s="3" t="s">
        <v>27</v>
      </c>
      <c r="D189" s="2">
        <v>5</v>
      </c>
      <c r="E189" s="2" t="s">
        <v>26</v>
      </c>
      <c r="F189" s="3" t="s">
        <v>9</v>
      </c>
      <c r="G189" s="3" t="s">
        <v>23</v>
      </c>
      <c r="H189" s="3">
        <f>IF(tDatosMaestros[[#This Row],[TIPO PROFESOR]]="HRS", 3,2)</f>
        <v>2</v>
      </c>
      <c r="J189">
        <v>0</v>
      </c>
    </row>
    <row r="190" spans="1:10" x14ac:dyDescent="0.25">
      <c r="A190" s="2">
        <v>4407</v>
      </c>
      <c r="B190" s="3" t="str">
        <f>"Nombre maestro "&amp;tDatosMaestros[[#This Row],[NO_CONTROL]]</f>
        <v>Nombre maestro 4407</v>
      </c>
      <c r="C190" s="3" t="s">
        <v>27</v>
      </c>
      <c r="D190" s="2">
        <v>5</v>
      </c>
      <c r="E190" s="2" t="s">
        <v>51</v>
      </c>
      <c r="F190" s="3" t="s">
        <v>9</v>
      </c>
      <c r="G190" s="3" t="s">
        <v>23</v>
      </c>
      <c r="H190" s="3">
        <f>IF(tDatosMaestros[[#This Row],[TIPO PROFESOR]]="HRS", 3,2)</f>
        <v>2</v>
      </c>
      <c r="J190">
        <v>0</v>
      </c>
    </row>
    <row r="191" spans="1:10" x14ac:dyDescent="0.25">
      <c r="A191" s="2">
        <v>4407</v>
      </c>
      <c r="B191" s="3" t="str">
        <f>"Nombre maestro "&amp;tDatosMaestros[[#This Row],[NO_CONTROL]]</f>
        <v>Nombre maestro 4407</v>
      </c>
      <c r="C191" s="3" t="s">
        <v>27</v>
      </c>
      <c r="D191" s="2">
        <v>5</v>
      </c>
      <c r="E191" s="2" t="s">
        <v>52</v>
      </c>
      <c r="F191" s="3" t="s">
        <v>9</v>
      </c>
      <c r="G191" s="3" t="s">
        <v>23</v>
      </c>
      <c r="H191" s="3">
        <f>IF(tDatosMaestros[[#This Row],[TIPO PROFESOR]]="HRS", 3,2)</f>
        <v>2</v>
      </c>
      <c r="J191">
        <v>2</v>
      </c>
    </row>
    <row r="192" spans="1:10" x14ac:dyDescent="0.25">
      <c r="A192" s="6">
        <v>7146</v>
      </c>
      <c r="B192" s="7" t="str">
        <f>"Nombre maestro "&amp;tDatosMaestros[[#This Row],[NO_CONTROL]]</f>
        <v>Nombre maestro 7146</v>
      </c>
      <c r="C192" s="7" t="s">
        <v>19</v>
      </c>
      <c r="D192" s="6">
        <v>4</v>
      </c>
      <c r="E192" s="6" t="s">
        <v>12</v>
      </c>
      <c r="F192" s="7" t="s">
        <v>9</v>
      </c>
      <c r="G192" s="7" t="s">
        <v>54</v>
      </c>
      <c r="H192" s="7">
        <f>IF(tDatosMaestros[[#This Row],[TIPO PROFESOR]]="HRS", 3,2)</f>
        <v>2</v>
      </c>
      <c r="J192">
        <v>0</v>
      </c>
    </row>
  </sheetData>
  <sortState ref="A2:H192">
    <sortCondition ref="G2:G192" customList="HRS,PTC,Coordinadora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32"/>
  <sheetViews>
    <sheetView zoomScaleNormal="100" workbookViewId="0">
      <selection activeCell="A13" sqref="A13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86</v>
      </c>
      <c r="B1" s="8"/>
      <c r="C1" s="8"/>
      <c r="D1" s="8"/>
      <c r="E1" s="8"/>
    </row>
    <row r="2" spans="1:6" ht="17.25" x14ac:dyDescent="0.25">
      <c r="A2" t="s">
        <v>87</v>
      </c>
      <c r="B2" s="9"/>
      <c r="C2" s="9"/>
      <c r="D2" s="9"/>
      <c r="E2" s="9"/>
    </row>
    <row r="3" spans="1:6" ht="15" customHeight="1" x14ac:dyDescent="0.25">
      <c r="A3" t="s">
        <v>102</v>
      </c>
      <c r="B3" s="10"/>
      <c r="C3" s="10"/>
      <c r="D3" s="10"/>
      <c r="E3" s="10"/>
    </row>
    <row r="5" spans="1:6" x14ac:dyDescent="0.25">
      <c r="A5" s="17" t="s">
        <v>88</v>
      </c>
      <c r="B5" s="11" t="s">
        <v>89</v>
      </c>
      <c r="C5" s="11" t="s">
        <v>90</v>
      </c>
      <c r="D5" s="11" t="s">
        <v>91</v>
      </c>
      <c r="E5" s="11" t="s">
        <v>92</v>
      </c>
      <c r="F5" s="21" t="s">
        <v>93</v>
      </c>
    </row>
    <row r="6" spans="1:6" x14ac:dyDescent="0.25">
      <c r="A6" s="18"/>
      <c r="B6" s="15"/>
      <c r="C6" s="15"/>
      <c r="D6" s="15"/>
      <c r="E6" s="15"/>
      <c r="F6" s="23"/>
    </row>
    <row r="7" spans="1:6" x14ac:dyDescent="0.25">
      <c r="A7" s="13" t="s">
        <v>109</v>
      </c>
      <c r="B7" s="16"/>
      <c r="C7" s="16"/>
      <c r="D7" s="16"/>
      <c r="E7" s="16"/>
      <c r="F7" s="19"/>
    </row>
    <row r="8" spans="1:6" x14ac:dyDescent="0.25">
      <c r="A8" s="14"/>
      <c r="B8" s="22"/>
      <c r="C8" s="22"/>
      <c r="D8" s="22"/>
      <c r="E8" s="22"/>
      <c r="F8" s="20"/>
    </row>
    <row r="9" spans="1:6" x14ac:dyDescent="0.25">
      <c r="A9" s="13"/>
      <c r="B9" s="16"/>
      <c r="C9" s="16"/>
      <c r="D9" s="16"/>
      <c r="E9" s="16"/>
      <c r="F9" s="19"/>
    </row>
    <row r="10" spans="1:6" x14ac:dyDescent="0.25">
      <c r="A10" s="13" t="s">
        <v>94</v>
      </c>
      <c r="B10" s="16"/>
      <c r="C10" s="16"/>
      <c r="D10" s="16"/>
      <c r="E10" s="16"/>
      <c r="F10" s="19"/>
    </row>
    <row r="11" spans="1:6" x14ac:dyDescent="0.25">
      <c r="A11" s="13"/>
      <c r="B11" s="16"/>
      <c r="C11" s="16"/>
      <c r="D11" s="16"/>
      <c r="E11" s="16"/>
      <c r="F11" s="19"/>
    </row>
    <row r="12" spans="1:6" x14ac:dyDescent="0.25">
      <c r="A12" s="12"/>
      <c r="B12" s="15"/>
      <c r="C12" s="15"/>
      <c r="D12" s="15"/>
      <c r="E12" s="15"/>
      <c r="F12" s="23"/>
    </row>
    <row r="13" spans="1:6" x14ac:dyDescent="0.25">
      <c r="A13" s="13" t="s">
        <v>95</v>
      </c>
      <c r="B13" s="16"/>
      <c r="C13" s="16"/>
      <c r="D13" s="16"/>
      <c r="E13" s="16"/>
      <c r="F13" s="19"/>
    </row>
    <row r="14" spans="1:6" x14ac:dyDescent="0.25">
      <c r="A14" s="14"/>
      <c r="B14" s="22"/>
      <c r="C14" s="22"/>
      <c r="D14" s="22"/>
      <c r="E14" s="22"/>
      <c r="F14" s="20"/>
    </row>
    <row r="15" spans="1:6" x14ac:dyDescent="0.25">
      <c r="A15" s="12"/>
      <c r="B15" s="15"/>
      <c r="C15" s="15"/>
      <c r="D15" s="15"/>
      <c r="E15" s="15"/>
      <c r="F15" s="23"/>
    </row>
    <row r="16" spans="1:6" x14ac:dyDescent="0.25">
      <c r="A16" s="13" t="s">
        <v>96</v>
      </c>
      <c r="B16" s="16"/>
      <c r="C16" s="16"/>
      <c r="D16" s="16"/>
      <c r="E16" s="16"/>
      <c r="F16" s="19"/>
    </row>
    <row r="17" spans="1:6" x14ac:dyDescent="0.25">
      <c r="A17" s="14"/>
      <c r="B17" s="22"/>
      <c r="C17" s="22"/>
      <c r="D17" s="22"/>
      <c r="E17" s="22"/>
      <c r="F17" s="20"/>
    </row>
    <row r="18" spans="1:6" x14ac:dyDescent="0.25">
      <c r="A18" s="12"/>
      <c r="B18" s="15"/>
      <c r="C18" s="15"/>
      <c r="D18" s="15"/>
      <c r="E18" s="15"/>
      <c r="F18" s="23"/>
    </row>
    <row r="19" spans="1:6" x14ac:dyDescent="0.25">
      <c r="A19" s="13" t="s">
        <v>97</v>
      </c>
      <c r="B19" s="16"/>
      <c r="C19" s="16"/>
      <c r="D19" s="16"/>
      <c r="E19" s="16"/>
      <c r="F19" s="19"/>
    </row>
    <row r="20" spans="1:6" x14ac:dyDescent="0.25">
      <c r="A20" s="14"/>
      <c r="B20" s="22"/>
      <c r="C20" s="22"/>
      <c r="D20" s="22"/>
      <c r="E20" s="22"/>
      <c r="F20" s="20"/>
    </row>
    <row r="21" spans="1:6" x14ac:dyDescent="0.25">
      <c r="A21" s="12"/>
      <c r="B21" s="15"/>
      <c r="C21" s="15"/>
      <c r="D21" s="15"/>
      <c r="E21" s="15"/>
      <c r="F21" s="23"/>
    </row>
    <row r="22" spans="1:6" x14ac:dyDescent="0.25">
      <c r="A22" s="13" t="s">
        <v>98</v>
      </c>
      <c r="B22" s="16"/>
      <c r="C22" s="16"/>
      <c r="D22" s="16"/>
      <c r="E22" s="16"/>
      <c r="F22" s="19"/>
    </row>
    <row r="23" spans="1:6" x14ac:dyDescent="0.25">
      <c r="A23" s="14"/>
      <c r="B23" s="22"/>
      <c r="C23" s="22"/>
      <c r="D23" s="22"/>
      <c r="E23" s="22"/>
      <c r="F23" s="20"/>
    </row>
    <row r="24" spans="1:6" x14ac:dyDescent="0.25">
      <c r="A24" s="12"/>
      <c r="B24" s="15"/>
      <c r="C24" s="15"/>
      <c r="D24" s="15"/>
      <c r="E24" s="15"/>
      <c r="F24" s="23"/>
    </row>
    <row r="25" spans="1:6" x14ac:dyDescent="0.25">
      <c r="A25" s="13" t="s">
        <v>99</v>
      </c>
      <c r="B25" s="16"/>
      <c r="C25" s="16"/>
      <c r="D25" s="16"/>
      <c r="E25" s="16"/>
      <c r="F25" s="19"/>
    </row>
    <row r="26" spans="1:6" x14ac:dyDescent="0.25">
      <c r="A26" s="14"/>
      <c r="B26" s="22"/>
      <c r="C26" s="22"/>
      <c r="D26" s="22"/>
      <c r="E26" s="22"/>
      <c r="F26" s="20"/>
    </row>
    <row r="27" spans="1:6" x14ac:dyDescent="0.25">
      <c r="A27" s="12"/>
      <c r="B27" s="15"/>
      <c r="C27" s="15"/>
      <c r="D27" s="15"/>
      <c r="E27" s="15"/>
      <c r="F27" s="23"/>
    </row>
    <row r="28" spans="1:6" x14ac:dyDescent="0.25">
      <c r="A28" s="13" t="s">
        <v>100</v>
      </c>
      <c r="B28" s="16"/>
      <c r="C28" s="16"/>
      <c r="D28" s="16"/>
      <c r="E28" s="16"/>
      <c r="F28" s="19"/>
    </row>
    <row r="29" spans="1:6" x14ac:dyDescent="0.25">
      <c r="A29" s="14"/>
      <c r="B29" s="22"/>
      <c r="C29" s="22"/>
      <c r="D29" s="22"/>
      <c r="E29" s="22"/>
      <c r="F29" s="20"/>
    </row>
    <row r="30" spans="1:6" x14ac:dyDescent="0.25">
      <c r="A30" s="13"/>
      <c r="B30" s="16"/>
      <c r="C30" s="16"/>
      <c r="D30" s="16"/>
      <c r="E30" s="16"/>
      <c r="F30" s="19"/>
    </row>
    <row r="31" spans="1:6" x14ac:dyDescent="0.25">
      <c r="A31" s="13" t="s">
        <v>101</v>
      </c>
      <c r="B31" s="16"/>
      <c r="C31" s="16"/>
      <c r="D31" s="16"/>
      <c r="E31" s="16"/>
      <c r="F31" s="19"/>
    </row>
    <row r="32" spans="1:6" x14ac:dyDescent="0.25">
      <c r="A32" s="14"/>
      <c r="B32" s="22"/>
      <c r="C32" s="22"/>
      <c r="D32" s="22"/>
      <c r="E32" s="22"/>
      <c r="F32" s="20"/>
    </row>
  </sheetData>
  <pageMargins left="0.7" right="0.7" top="0.75" bottom="0.75" header="0.3" footer="0.3"/>
  <pageSetup paperSize="19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32"/>
  <sheetViews>
    <sheetView zoomScaleNormal="100" workbookViewId="0">
      <selection activeCell="E16" sqref="E16"/>
    </sheetView>
  </sheetViews>
  <sheetFormatPr baseColWidth="10" defaultRowHeight="15" x14ac:dyDescent="0.25"/>
  <cols>
    <col min="1" max="1" width="34.7109375" bestFit="1" customWidth="1"/>
  </cols>
  <sheetData>
    <row r="1" spans="1:6" ht="22.5" x14ac:dyDescent="0.25">
      <c r="A1" t="s">
        <v>86</v>
      </c>
      <c r="B1" s="8"/>
      <c r="C1" s="8"/>
      <c r="D1" s="8"/>
      <c r="E1" s="8"/>
    </row>
    <row r="2" spans="1:6" ht="17.25" x14ac:dyDescent="0.25">
      <c r="A2" t="s">
        <v>87</v>
      </c>
      <c r="B2" s="9"/>
      <c r="C2" s="9"/>
      <c r="D2" s="9"/>
      <c r="E2" s="9"/>
    </row>
    <row r="3" spans="1:6" ht="15" customHeight="1" x14ac:dyDescent="0.25">
      <c r="A3" t="s">
        <v>102</v>
      </c>
      <c r="B3" s="10"/>
      <c r="C3" s="10"/>
      <c r="D3" s="10"/>
      <c r="E3" s="10"/>
    </row>
    <row r="5" spans="1:6" x14ac:dyDescent="0.25">
      <c r="A5" s="17" t="s">
        <v>88</v>
      </c>
      <c r="B5" s="11" t="s">
        <v>89</v>
      </c>
      <c r="C5" s="11" t="s">
        <v>90</v>
      </c>
      <c r="D5" s="11" t="s">
        <v>91</v>
      </c>
      <c r="E5" s="11" t="s">
        <v>92</v>
      </c>
      <c r="F5" s="21" t="s">
        <v>93</v>
      </c>
    </row>
    <row r="6" spans="1:6" x14ac:dyDescent="0.25">
      <c r="A6" s="18"/>
      <c r="B6" s="15"/>
      <c r="C6" s="15"/>
      <c r="D6" s="15"/>
      <c r="E6" s="15"/>
      <c r="F6" s="23"/>
    </row>
    <row r="7" spans="1:6" x14ac:dyDescent="0.25">
      <c r="A7" s="13" t="s">
        <v>109</v>
      </c>
      <c r="B7" s="16" t="s">
        <v>111</v>
      </c>
      <c r="C7" s="16" t="s">
        <v>111</v>
      </c>
      <c r="D7" s="16" t="s">
        <v>111</v>
      </c>
      <c r="E7" s="16" t="s">
        <v>111</v>
      </c>
      <c r="F7" s="19" t="s">
        <v>111</v>
      </c>
    </row>
    <row r="8" spans="1:6" x14ac:dyDescent="0.25">
      <c r="A8" s="14"/>
      <c r="B8" s="22"/>
      <c r="C8" s="22"/>
      <c r="D8" s="22"/>
      <c r="E8" s="22"/>
      <c r="F8" s="20"/>
    </row>
    <row r="9" spans="1:6" x14ac:dyDescent="0.25">
      <c r="A9" s="13"/>
      <c r="B9" s="16"/>
      <c r="C9" s="16"/>
      <c r="D9" s="16"/>
      <c r="E9" s="16"/>
      <c r="F9" s="19"/>
    </row>
    <row r="10" spans="1:6" x14ac:dyDescent="0.25">
      <c r="A10" s="13" t="s">
        <v>94</v>
      </c>
      <c r="B10" s="16" t="s">
        <v>111</v>
      </c>
      <c r="C10" s="16" t="s">
        <v>111</v>
      </c>
      <c r="D10" s="16" t="s">
        <v>111</v>
      </c>
      <c r="E10" s="16" t="s">
        <v>111</v>
      </c>
      <c r="F10" s="19" t="s">
        <v>111</v>
      </c>
    </row>
    <row r="11" spans="1:6" x14ac:dyDescent="0.25">
      <c r="A11" s="13"/>
      <c r="B11" s="16"/>
      <c r="C11" s="16"/>
      <c r="D11" s="16"/>
      <c r="E11" s="16"/>
      <c r="F11" s="19"/>
    </row>
    <row r="12" spans="1:6" x14ac:dyDescent="0.25">
      <c r="A12" s="12"/>
      <c r="B12" s="15"/>
      <c r="C12" s="15"/>
      <c r="D12" s="15"/>
      <c r="E12" s="15"/>
      <c r="F12" s="23"/>
    </row>
    <row r="13" spans="1:6" x14ac:dyDescent="0.25">
      <c r="A13" s="13" t="s">
        <v>95</v>
      </c>
      <c r="B13" s="16" t="s">
        <v>111</v>
      </c>
      <c r="C13" s="16" t="s">
        <v>111</v>
      </c>
      <c r="D13" s="16" t="s">
        <v>111</v>
      </c>
      <c r="E13" s="16" t="s">
        <v>111</v>
      </c>
      <c r="F13" s="19" t="s">
        <v>111</v>
      </c>
    </row>
    <row r="14" spans="1:6" x14ac:dyDescent="0.25">
      <c r="A14" s="14"/>
      <c r="B14" s="22"/>
      <c r="C14" s="22"/>
      <c r="D14" s="22"/>
      <c r="E14" s="22"/>
      <c r="F14" s="20"/>
    </row>
    <row r="15" spans="1:6" x14ac:dyDescent="0.25">
      <c r="A15" s="12"/>
      <c r="B15" s="15"/>
      <c r="C15" s="15"/>
      <c r="D15" s="15"/>
      <c r="E15" s="15"/>
      <c r="F15" s="23"/>
    </row>
    <row r="16" spans="1:6" x14ac:dyDescent="0.25">
      <c r="A16" s="13" t="s">
        <v>96</v>
      </c>
      <c r="B16" s="16" t="s">
        <v>111</v>
      </c>
      <c r="C16" s="16" t="s">
        <v>111</v>
      </c>
      <c r="D16" s="16" t="s">
        <v>111</v>
      </c>
      <c r="E16" s="16" t="s">
        <v>111</v>
      </c>
      <c r="F16" s="19" t="s">
        <v>111</v>
      </c>
    </row>
    <row r="17" spans="1:6" x14ac:dyDescent="0.25">
      <c r="A17" s="14"/>
      <c r="B17" s="22"/>
      <c r="C17" s="22"/>
      <c r="D17" s="22"/>
      <c r="E17" s="22"/>
      <c r="F17" s="20"/>
    </row>
    <row r="18" spans="1:6" x14ac:dyDescent="0.25">
      <c r="A18" s="12"/>
      <c r="B18" s="15"/>
      <c r="C18" s="15"/>
      <c r="D18" s="15"/>
      <c r="E18" s="15"/>
      <c r="F18" s="23"/>
    </row>
    <row r="19" spans="1:6" x14ac:dyDescent="0.25">
      <c r="A19" s="13" t="s">
        <v>97</v>
      </c>
      <c r="B19" s="16"/>
      <c r="C19" s="16"/>
      <c r="D19" s="16"/>
      <c r="E19" s="16"/>
      <c r="F19" s="19"/>
    </row>
    <row r="20" spans="1:6" x14ac:dyDescent="0.25">
      <c r="A20" s="14"/>
      <c r="B20" s="22"/>
      <c r="C20" s="22"/>
      <c r="D20" s="22"/>
      <c r="E20" s="22"/>
      <c r="F20" s="20"/>
    </row>
    <row r="21" spans="1:6" x14ac:dyDescent="0.25">
      <c r="A21" s="12"/>
      <c r="B21" s="15"/>
      <c r="C21" s="15"/>
      <c r="D21" s="15"/>
      <c r="E21" s="15"/>
      <c r="F21" s="23"/>
    </row>
    <row r="22" spans="1:6" x14ac:dyDescent="0.25">
      <c r="A22" s="13" t="s">
        <v>98</v>
      </c>
      <c r="B22" s="16"/>
      <c r="C22" s="16"/>
      <c r="D22" s="16"/>
      <c r="E22" s="16"/>
      <c r="F22" s="19"/>
    </row>
    <row r="23" spans="1:6" x14ac:dyDescent="0.25">
      <c r="A23" s="14"/>
      <c r="B23" s="22"/>
      <c r="C23" s="22"/>
      <c r="D23" s="22"/>
      <c r="E23" s="22"/>
      <c r="F23" s="20"/>
    </row>
    <row r="24" spans="1:6" x14ac:dyDescent="0.25">
      <c r="A24" s="12"/>
      <c r="B24" s="15"/>
      <c r="C24" s="15"/>
      <c r="D24" s="15"/>
      <c r="E24" s="15"/>
      <c r="F24" s="23"/>
    </row>
    <row r="25" spans="1:6" x14ac:dyDescent="0.25">
      <c r="A25" s="13" t="s">
        <v>99</v>
      </c>
      <c r="B25" s="16"/>
      <c r="C25" s="16"/>
      <c r="D25" s="16"/>
      <c r="E25" s="16"/>
      <c r="F25" s="19"/>
    </row>
    <row r="26" spans="1:6" x14ac:dyDescent="0.25">
      <c r="A26" s="14"/>
      <c r="B26" s="22"/>
      <c r="C26" s="22"/>
      <c r="D26" s="22"/>
      <c r="E26" s="22"/>
      <c r="F26" s="20"/>
    </row>
    <row r="27" spans="1:6" x14ac:dyDescent="0.25">
      <c r="A27" s="12"/>
      <c r="B27" s="15"/>
      <c r="C27" s="15"/>
      <c r="D27" s="15"/>
      <c r="E27" s="15"/>
      <c r="F27" s="23"/>
    </row>
    <row r="28" spans="1:6" x14ac:dyDescent="0.25">
      <c r="A28" s="13" t="s">
        <v>100</v>
      </c>
      <c r="B28" s="16"/>
      <c r="C28" s="16"/>
      <c r="D28" s="16"/>
      <c r="E28" s="16"/>
      <c r="F28" s="19"/>
    </row>
    <row r="29" spans="1:6" x14ac:dyDescent="0.25">
      <c r="A29" s="14"/>
      <c r="B29" s="22"/>
      <c r="C29" s="22"/>
      <c r="D29" s="22"/>
      <c r="E29" s="22"/>
      <c r="F29" s="20"/>
    </row>
    <row r="30" spans="1:6" x14ac:dyDescent="0.25">
      <c r="A30" s="13"/>
      <c r="B30" s="16"/>
      <c r="C30" s="16"/>
      <c r="D30" s="16"/>
      <c r="E30" s="16"/>
      <c r="F30" s="19"/>
    </row>
    <row r="31" spans="1:6" x14ac:dyDescent="0.25">
      <c r="A31" s="13" t="s">
        <v>101</v>
      </c>
      <c r="B31" s="16"/>
      <c r="C31" s="16"/>
      <c r="D31" s="16"/>
      <c r="E31" s="16"/>
      <c r="F31" s="19"/>
    </row>
    <row r="32" spans="1:6" x14ac:dyDescent="0.25">
      <c r="A32" s="14"/>
      <c r="B32" s="22"/>
      <c r="C32" s="22"/>
      <c r="D32" s="22"/>
      <c r="E32" s="22"/>
      <c r="F32" s="20"/>
    </row>
  </sheetData>
  <pageMargins left="0.7" right="0.7" top="0.75" bottom="0.75" header="0.3" footer="0.3"/>
  <pageSetup paperSize="190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Maestros</vt:lpstr>
      <vt:lpstr>Plantilla_Horario</vt:lpstr>
      <vt:lpstr>M_3010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User</cp:lastModifiedBy>
  <dcterms:created xsi:type="dcterms:W3CDTF">2013-08-30T16:26:02Z</dcterms:created>
  <dcterms:modified xsi:type="dcterms:W3CDTF">2014-01-03T05:53:39Z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ProgramarHorarios_1" visible="true" label="ProgramarHorarios" imageMso="ListMacros" onAction="ProgramarHorarios"/>
      </mso:documentControls>
    </mso:qat>
  </mso:ribbon>
</mso:customUI>
</file>