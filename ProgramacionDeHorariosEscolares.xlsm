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/>
  <bookViews>
    <workbookView xWindow="0" yWindow="0" windowWidth="19560" windowHeight="8340"/>
  </bookViews>
  <sheets>
    <sheet name="Maestros" sheetId="1" r:id="rId1"/>
    <sheet name="Laboratorio" sheetId="5" r:id="rId2"/>
    <sheet name="Plantilla_Horario" sheetId="2" r:id="rId3"/>
    <sheet name="M_3010" sheetId="4" r:id="rId4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M52" i="1" l="1"/>
  <c r="M53" i="1"/>
  <c r="M54" i="1"/>
  <c r="M55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L136" i="1"/>
  <c r="L137" i="1"/>
  <c r="L138" i="1"/>
  <c r="L32" i="1"/>
  <c r="L33" i="1"/>
  <c r="L34" i="1"/>
  <c r="L35" i="1"/>
  <c r="L71" i="1"/>
  <c r="L72" i="1"/>
  <c r="L36" i="1"/>
  <c r="L37" i="1"/>
  <c r="L38" i="1"/>
  <c r="L39" i="1"/>
  <c r="L56" i="1"/>
  <c r="L57" i="1"/>
  <c r="L115" i="1"/>
  <c r="L116" i="1"/>
  <c r="L117" i="1"/>
  <c r="L9" i="1"/>
  <c r="L10" i="1"/>
  <c r="L11" i="1"/>
  <c r="L12" i="1"/>
  <c r="L58" i="1"/>
  <c r="L59" i="1"/>
  <c r="L60" i="1"/>
  <c r="L61" i="1"/>
  <c r="L156" i="1"/>
  <c r="L157" i="1"/>
  <c r="L93" i="1"/>
  <c r="L94" i="1"/>
  <c r="L95" i="1"/>
  <c r="L62" i="1"/>
  <c r="L88" i="1"/>
  <c r="L89" i="1"/>
  <c r="L90" i="1"/>
  <c r="L91" i="1"/>
  <c r="L151" i="1"/>
  <c r="L152" i="1"/>
  <c r="L153" i="1"/>
  <c r="L154" i="1"/>
  <c r="L155" i="1"/>
  <c r="L92" i="1"/>
  <c r="L100" i="1"/>
  <c r="L101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02" i="1"/>
  <c r="L103" i="1"/>
  <c r="L104" i="1"/>
  <c r="L158" i="1"/>
  <c r="L40" i="1"/>
  <c r="L41" i="1"/>
  <c r="L163" i="1"/>
  <c r="L69" i="1"/>
  <c r="L70" i="1"/>
  <c r="L43" i="1"/>
  <c r="L44" i="1"/>
  <c r="L45" i="1"/>
  <c r="L107" i="1"/>
  <c r="L108" i="1"/>
  <c r="L109" i="1"/>
  <c r="L110" i="1"/>
  <c r="L111" i="1"/>
  <c r="L112" i="1"/>
  <c r="L113" i="1"/>
  <c r="L114" i="1"/>
  <c r="L52" i="1"/>
  <c r="L53" i="1"/>
  <c r="L42" i="1"/>
  <c r="L54" i="1"/>
  <c r="L13" i="1"/>
  <c r="L161" i="1"/>
  <c r="L162" i="1"/>
  <c r="L17" i="1"/>
  <c r="L18" i="1"/>
  <c r="L19" i="1"/>
  <c r="L20" i="1"/>
  <c r="L21" i="1"/>
  <c r="L22" i="1"/>
  <c r="L23" i="1"/>
  <c r="L24" i="1"/>
  <c r="L74" i="1"/>
  <c r="L75" i="1"/>
  <c r="L76" i="1"/>
  <c r="L77" i="1"/>
  <c r="L78" i="1"/>
  <c r="L79" i="1"/>
  <c r="L80" i="1"/>
  <c r="L81" i="1"/>
  <c r="L82" i="1"/>
  <c r="L83" i="1"/>
  <c r="L25" i="1"/>
  <c r="L6" i="1"/>
  <c r="L7" i="1"/>
  <c r="L8" i="1"/>
  <c r="L26" i="1"/>
  <c r="L27" i="1"/>
  <c r="L50" i="1"/>
  <c r="L73" i="1"/>
  <c r="L124" i="1"/>
  <c r="L125" i="1"/>
  <c r="L126" i="1"/>
  <c r="L55" i="1"/>
  <c r="L14" i="1"/>
  <c r="L15" i="1"/>
  <c r="L63" i="1"/>
  <c r="L64" i="1"/>
  <c r="L65" i="1"/>
  <c r="L66" i="1"/>
  <c r="L96" i="1"/>
  <c r="L97" i="1"/>
  <c r="L98" i="1"/>
  <c r="L99" i="1"/>
  <c r="L28" i="1"/>
  <c r="L29" i="1"/>
  <c r="L30" i="1"/>
  <c r="L31" i="1"/>
  <c r="L48" i="1"/>
  <c r="L49" i="1"/>
  <c r="L67" i="1"/>
  <c r="L68" i="1"/>
  <c r="L127" i="1"/>
  <c r="L128" i="1"/>
  <c r="L129" i="1"/>
  <c r="L130" i="1"/>
  <c r="L118" i="1"/>
  <c r="L119" i="1"/>
  <c r="L120" i="1"/>
  <c r="L121" i="1"/>
  <c r="L122" i="1"/>
  <c r="L123" i="1"/>
  <c r="L131" i="1"/>
  <c r="L132" i="1"/>
  <c r="L133" i="1"/>
  <c r="L134" i="1"/>
  <c r="L135" i="1"/>
  <c r="L159" i="1"/>
  <c r="L160" i="1"/>
  <c r="L16" i="1"/>
  <c r="L2" i="1"/>
  <c r="L3" i="1"/>
  <c r="L4" i="1"/>
  <c r="L5" i="1"/>
  <c r="L51" i="1"/>
  <c r="L46" i="1"/>
  <c r="L47" i="1"/>
  <c r="L84" i="1"/>
  <c r="L85" i="1"/>
  <c r="L86" i="1"/>
  <c r="L87" i="1"/>
  <c r="L105" i="1"/>
  <c r="L106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9" i="1"/>
  <c r="K10" i="1"/>
  <c r="K11" i="1"/>
  <c r="K12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3" i="1"/>
  <c r="K161" i="1"/>
  <c r="K162" i="1"/>
  <c r="K17" i="1"/>
  <c r="K18" i="1"/>
  <c r="K19" i="1"/>
  <c r="K20" i="1"/>
  <c r="K21" i="1"/>
  <c r="K22" i="1"/>
  <c r="K23" i="1"/>
  <c r="K24" i="1"/>
  <c r="K74" i="1"/>
  <c r="K75" i="1"/>
  <c r="K76" i="1"/>
  <c r="K77" i="1"/>
  <c r="K78" i="1"/>
  <c r="K79" i="1"/>
  <c r="K80" i="1"/>
  <c r="K81" i="1"/>
  <c r="K82" i="1"/>
  <c r="K83" i="1"/>
  <c r="K25" i="1"/>
  <c r="K6" i="1"/>
  <c r="K7" i="1"/>
  <c r="K8" i="1"/>
  <c r="K26" i="1"/>
  <c r="K27" i="1"/>
  <c r="K50" i="1"/>
  <c r="K73" i="1"/>
  <c r="K124" i="1"/>
  <c r="K125" i="1"/>
  <c r="K126" i="1"/>
  <c r="K55" i="1"/>
  <c r="K14" i="1"/>
  <c r="K15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6" i="1"/>
  <c r="K2" i="1"/>
  <c r="K3" i="1"/>
  <c r="K4" i="1"/>
  <c r="K5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<sst xmlns="http://schemas.openxmlformats.org/spreadsheetml/2006/main" count="972" uniqueCount="168">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</sst>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5" fillId="5" borderId="12" xfId="1" applyFont="1" applyFill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7" borderId="0" xfId="0" applyFill="1"/>
  </cellXfs>
  <cellStyles count="2">
    <cellStyle name="Normal" xfId="0" builtinId="0"/>
    <cellStyle name="Normal 2" xfId="1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_xlfn.IFNA( INDEX(LabID[ID], MATCH( INDEX(LaboratoriosMaterias[Laboratorio], MATCH(tDatosMaestros[[#This Row],[ASIGNATURA]],LaboratoriosMaterias[Materia],0)), LabID[Laboratorio],0)), "")</calculatedColumnFormula>
    </tableColumn>
    <tableColumn id="15" name="LabAlternativo" dataDxfId="2">
      <calculatedColumnFormula>_xlfn.IFNA( INDEX(LabID[ID], MATCH( INDEX(LaboratoriosMaterias[LaboratorioB], MATCH(tDatosMaestros[[#This Row],[ASIGNATURA]],LaboratoriosMaterias[Materia],0)), LabID[Laboratorio],0)),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ID" displayName="Lab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2" activePane="bottomLeft" state="frozen"/>
      <selection pane="bottomLeft" activeCell="B8" sqref="B8"/>
    </sheetView>
  </sheetViews>
  <sheetFormatPr baseColWidth="10" defaultRowHeight="15" x14ac:dyDescent="0.25"/>
  <cols>
    <col min="1" max="1" width="15.5703125" style="1" bestFit="1" customWidth="1"/>
    <col min="2" max="2" width="39.7109375" bestFit="1" customWidth="1"/>
    <col min="3" max="3" width="47.85546875" bestFit="1" customWidth="1"/>
    <col min="4" max="4" width="11.7109375" style="1" bestFit="1" customWidth="1"/>
    <col min="5" max="5" width="11.85546875" style="1" bestFit="1" customWidth="1"/>
    <col min="6" max="6" width="9.85546875" bestFit="1" customWidth="1"/>
    <col min="7" max="7" width="14.85546875" customWidth="1"/>
    <col min="9" max="9" width="13" bestFit="1" customWidth="1"/>
    <col min="10" max="10" width="18.5703125" bestFit="1" customWidth="1"/>
    <col min="11" max="11" width="15.42578125" bestFit="1" customWidth="1"/>
    <col min="12" max="12" width="6.28515625" customWidth="1"/>
    <col min="14" max="14" width="7.5703125" customWidth="1"/>
    <col min="16" max="16" width="15.42578125" bestFit="1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30">
        <v>3010</v>
      </c>
      <c r="B2" s="31" t="str">
        <f>"Nombre maestro "&amp;tDatosMaestros[[#This Row],[NO_CONTROL]]</f>
        <v>Nombre maestro 3010</v>
      </c>
      <c r="C2" s="31" t="s">
        <v>70</v>
      </c>
      <c r="D2" s="30">
        <v>5</v>
      </c>
      <c r="E2" s="30" t="s">
        <v>24</v>
      </c>
      <c r="F2" s="32" t="s">
        <v>9</v>
      </c>
      <c r="G2" s="32" t="s">
        <v>10</v>
      </c>
      <c r="H2" s="32" t="s">
        <v>137</v>
      </c>
      <c r="I2" s="32">
        <v>3</v>
      </c>
      <c r="J2" s="32">
        <v>2</v>
      </c>
      <c r="K2" s="3">
        <f>IF(tDatosMaestros[[#This Row],[TIPO PROFESOR]]="HRS", 3,2)</f>
        <v>3</v>
      </c>
      <c r="L2" t="str">
        <f>_xlfn.IFNA( INDEX(LabID[ID], MATCH( INDEX(LaboratoriosMaterias[Laboratorio], MATCH(tDatosMaestros[[#This Row],[ASIGNATURA]],LaboratoriosMaterias[Materia],0)), LabID[Laboratorio],0)), "")</f>
        <v>MS</v>
      </c>
      <c r="M2" t="str">
        <f>_xlfn.IFNA( INDEX(LabID[ID], MATCH( INDEX(LaboratoriosMaterias[LaboratorioB], MATCH(tDatosMaestros[[#This Row],[ASIGNATURA]],LaboratoriosMaterias[Materia],0)), LabID[Laboratorio],0)), "")</f>
        <v>MN</v>
      </c>
      <c r="N2">
        <v>0</v>
      </c>
      <c r="O2">
        <v>10</v>
      </c>
    </row>
    <row r="3" spans="1:15" x14ac:dyDescent="0.25">
      <c r="A3" s="30">
        <v>3010</v>
      </c>
      <c r="B3" s="31" t="str">
        <f>"Nombre maestro "&amp;tDatosMaestros[[#This Row],[NO_CONTROL]]</f>
        <v>Nombre maestro 3010</v>
      </c>
      <c r="C3" s="31" t="s">
        <v>70</v>
      </c>
      <c r="D3" s="30">
        <v>5</v>
      </c>
      <c r="E3" s="30" t="s">
        <v>26</v>
      </c>
      <c r="F3" s="32" t="s">
        <v>9</v>
      </c>
      <c r="G3" s="32" t="s">
        <v>10</v>
      </c>
      <c r="H3" s="32" t="s">
        <v>137</v>
      </c>
      <c r="I3" s="32">
        <v>3</v>
      </c>
      <c r="J3" s="32">
        <v>2</v>
      </c>
      <c r="K3" s="3">
        <f>IF(tDatosMaestros[[#This Row],[TIPO PROFESOR]]="HRS", 3,2)</f>
        <v>3</v>
      </c>
      <c r="L3" t="str">
        <f>_xlfn.IFNA( INDEX(LabID[ID], MATCH( INDEX(LaboratoriosMaterias[Laboratorio], MATCH(tDatosMaestros[[#This Row],[ASIGNATURA]],LaboratoriosMaterias[Materia],0)), LabID[Laboratorio],0)), "")</f>
        <v>MS</v>
      </c>
      <c r="M3" t="str">
        <f>_xlfn.IFNA( INDEX(LabID[ID], MATCH( INDEX(LaboratoriosMaterias[LaboratorioB], MATCH(tDatosMaestros[[#This Row],[ASIGNATURA]],LaboratoriosMaterias[Materia],0)), LabID[Laboratorio],0)), "")</f>
        <v>MN</v>
      </c>
      <c r="N3">
        <v>0</v>
      </c>
      <c r="O3">
        <v>10</v>
      </c>
    </row>
    <row r="4" spans="1:15" x14ac:dyDescent="0.25">
      <c r="A4" s="30">
        <v>3010</v>
      </c>
      <c r="B4" s="31" t="str">
        <f>"Nombre maestro "&amp;tDatosMaestros[[#This Row],[NO_CONTROL]]</f>
        <v>Nombre maestro 3010</v>
      </c>
      <c r="C4" s="31" t="s">
        <v>71</v>
      </c>
      <c r="D4" s="30">
        <v>4</v>
      </c>
      <c r="E4" s="30" t="s">
        <v>25</v>
      </c>
      <c r="F4" s="32" t="s">
        <v>9</v>
      </c>
      <c r="G4" s="32" t="s">
        <v>10</v>
      </c>
      <c r="H4" s="32" t="s">
        <v>138</v>
      </c>
      <c r="I4" s="32">
        <v>2</v>
      </c>
      <c r="J4" s="32">
        <v>2</v>
      </c>
      <c r="K4" s="3">
        <f>IF(tDatosMaestros[[#This Row],[TIPO PROFESOR]]="HRS", 3,2)</f>
        <v>3</v>
      </c>
      <c r="L4" t="str">
        <f>_xlfn.IFNA( INDEX(LabID[ID], MATCH( INDEX(LaboratoriosMaterias[Laboratorio], MATCH(tDatosMaestros[[#This Row],[ASIGNATURA]],LaboratoriosMaterias[Materia],0)), LabID[Laboratorio],0)), "")</f>
        <v>MS</v>
      </c>
      <c r="M4" t="str">
        <f>_xlfn.IFNA( INDEX(LabID[ID], MATCH( INDEX(LaboratoriosMaterias[LaboratorioB], MATCH(tDatosMaestros[[#This Row],[ASIGNATURA]],LaboratoriosMaterias[Materia],0)), LabID[Laboratorio],0)), "")</f>
        <v/>
      </c>
      <c r="N4">
        <v>0</v>
      </c>
      <c r="O4">
        <v>10</v>
      </c>
    </row>
    <row r="5" spans="1:15" x14ac:dyDescent="0.25">
      <c r="A5" s="30">
        <v>3010</v>
      </c>
      <c r="B5" s="31" t="str">
        <f>"Nombre maestro "&amp;tDatosMaestros[[#This Row],[NO_CONTROL]]</f>
        <v>Nombre maestro 3010</v>
      </c>
      <c r="C5" s="31" t="s">
        <v>72</v>
      </c>
      <c r="D5" s="30">
        <v>4</v>
      </c>
      <c r="E5" s="30" t="s">
        <v>25</v>
      </c>
      <c r="F5" s="32" t="s">
        <v>9</v>
      </c>
      <c r="G5" s="32" t="s">
        <v>10</v>
      </c>
      <c r="H5" s="32" t="s">
        <v>139</v>
      </c>
      <c r="I5" s="32">
        <v>2</v>
      </c>
      <c r="J5" s="32">
        <v>2</v>
      </c>
      <c r="K5" s="3">
        <f>IF(tDatosMaestros[[#This Row],[TIPO PROFESOR]]="HRS", 3,2)</f>
        <v>3</v>
      </c>
      <c r="L5" t="str">
        <f>_xlfn.IFNA( INDEX(LabID[ID], MATCH( INDEX(LaboratoriosMaterias[Laboratorio], MATCH(tDatosMaestros[[#This Row],[ASIGNATURA]],LaboratoriosMaterias[Materia],0)), LabID[Laboratorio],0)), "")</f>
        <v>MS</v>
      </c>
      <c r="M5" t="str">
        <f>_xlfn.IFNA( INDEX(LabID[ID], MATCH( INDEX(LaboratoriosMaterias[LaboratorioB], MATCH(tDatosMaestros[[#This Row],[ASIGNATURA]],LaboratoriosMaterias[Materia],0)), LabID[Laboratorio],0)), "")</f>
        <v/>
      </c>
      <c r="N5">
        <v>0</v>
      </c>
      <c r="O5">
        <v>10</v>
      </c>
    </row>
    <row r="6" spans="1:15" x14ac:dyDescent="0.25">
      <c r="A6" s="2">
        <v>5707</v>
      </c>
      <c r="B6" s="25" t="str">
        <f>"Nombre maestro "&amp;tDatosMaestros[[#This Row],[NO_CONTROL]]</f>
        <v>Nombre maestro 5707</v>
      </c>
      <c r="C6" s="25" t="s">
        <v>59</v>
      </c>
      <c r="D6" s="2">
        <v>5</v>
      </c>
      <c r="E6" s="2" t="s">
        <v>25</v>
      </c>
      <c r="F6" s="3" t="s">
        <v>9</v>
      </c>
      <c r="G6" s="3" t="s">
        <v>23</v>
      </c>
      <c r="H6" t="s">
        <v>127</v>
      </c>
      <c r="I6">
        <v>3</v>
      </c>
      <c r="J6">
        <v>2</v>
      </c>
      <c r="K6">
        <f>IF(tDatosMaestros[[#This Row],[TIPO PROFESOR]]="HRS", 3,2)</f>
        <v>2</v>
      </c>
      <c r="L6" t="str">
        <f>_xlfn.IFNA( INDEX(LabID[ID], MATCH( INDEX(LaboratoriosMaterias[Laboratorio], MATCH(tDatosMaestros[[#This Row],[ASIGNATURA]],LaboratoriosMaterias[Materia],0)), LabID[Laboratorio],0)), "")</f>
        <v>MS</v>
      </c>
      <c r="M6" t="str">
        <f>_xlfn.IFNA( INDEX(LabID[ID], MATCH( INDEX(LaboratoriosMaterias[LaboratorioB], MATCH(tDatosMaestros[[#This Row],[ASIGNATURA]],LaboratoriosMaterias[Materia],0)), LabID[Laboratorio],0)), "")</f>
        <v>MN</v>
      </c>
      <c r="N6">
        <v>0</v>
      </c>
      <c r="O6">
        <v>10</v>
      </c>
    </row>
    <row r="7" spans="1:15" x14ac:dyDescent="0.25">
      <c r="A7" s="2">
        <v>5707</v>
      </c>
      <c r="B7" s="25" t="str">
        <f>"Nombre maestro "&amp;tDatosMaestros[[#This Row],[NO_CONTROL]]</f>
        <v>Nombre maestro 5707</v>
      </c>
      <c r="C7" s="25" t="s">
        <v>60</v>
      </c>
      <c r="D7" s="2">
        <v>5</v>
      </c>
      <c r="E7" s="2" t="s">
        <v>24</v>
      </c>
      <c r="F7" s="3" t="s">
        <v>9</v>
      </c>
      <c r="G7" s="3" t="s">
        <v>23</v>
      </c>
      <c r="H7" t="s">
        <v>128</v>
      </c>
      <c r="I7">
        <v>3</v>
      </c>
      <c r="J7">
        <v>2</v>
      </c>
      <c r="K7">
        <f>IF(tDatosMaestros[[#This Row],[TIPO PROFESOR]]="HRS", 3,2)</f>
        <v>2</v>
      </c>
      <c r="L7" t="str">
        <f>_xlfn.IFNA( INDEX(LabID[ID], MATCH( INDEX(LaboratoriosMaterias[Laboratorio], MATCH(tDatosMaestros[[#This Row],[ASIGNATURA]],LaboratoriosMaterias[Materia],0)), LabID[Laboratorio],0)), "")</f>
        <v>MS</v>
      </c>
      <c r="M7" t="str">
        <f>_xlfn.IFNA( INDEX(LabID[ID], MATCH( INDEX(LaboratoriosMaterias[LaboratorioB], MATCH(tDatosMaestros[[#This Row],[ASIGNATURA]],LaboratoriosMaterias[Materia],0)), LabID[Laboratorio],0)),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25" t="str">
        <f>"Nombre maestro "&amp;tDatosMaestros[[#This Row],[NO_CONTROL]]</f>
        <v>Nombre maestro 5707</v>
      </c>
      <c r="C8" s="25" t="s">
        <v>60</v>
      </c>
      <c r="D8" s="2">
        <v>5</v>
      </c>
      <c r="E8" s="2" t="s">
        <v>26</v>
      </c>
      <c r="F8" s="3" t="s">
        <v>9</v>
      </c>
      <c r="G8" s="3" t="s">
        <v>23</v>
      </c>
      <c r="H8" t="s">
        <v>128</v>
      </c>
      <c r="I8">
        <v>3</v>
      </c>
      <c r="J8">
        <v>2</v>
      </c>
      <c r="K8">
        <f>IF(tDatosMaestros[[#This Row],[TIPO PROFESOR]]="HRS", 3,2)</f>
        <v>2</v>
      </c>
      <c r="L8" t="str">
        <f>_xlfn.IFNA( INDEX(LabID[ID], MATCH( INDEX(LaboratoriosMaterias[Laboratorio], MATCH(tDatosMaestros[[#This Row],[ASIGNATURA]],LaboratoriosMaterias[Materia],0)), LabID[Laboratorio],0)), "")</f>
        <v>MS</v>
      </c>
      <c r="M8" t="str">
        <f>_xlfn.IFNA( INDEX(LabID[ID], MATCH( INDEX(LaboratoriosMaterias[LaboratorioB], MATCH(tDatosMaestros[[#This Row],[ASIGNATURA]],LaboratoriosMaterias[Materia],0)), LabID[Laboratorio],0)), "")</f>
        <v/>
      </c>
      <c r="N8">
        <v>0</v>
      </c>
      <c r="O8">
        <v>10</v>
      </c>
    </row>
    <row r="9" spans="1:15" x14ac:dyDescent="0.25">
      <c r="A9" s="1">
        <v>194</v>
      </c>
      <c r="B9" s="24" t="str">
        <f>"Nombre maestro "&amp;tDatosMaestros[[#This Row],[NO_CONTROL]]</f>
        <v>Nombre maestro 194</v>
      </c>
      <c r="C9" s="24" t="s">
        <v>39</v>
      </c>
      <c r="D9" s="1">
        <v>4</v>
      </c>
      <c r="E9" s="1" t="s">
        <v>33</v>
      </c>
      <c r="F9" t="s">
        <v>9</v>
      </c>
      <c r="G9" t="s">
        <v>10</v>
      </c>
      <c r="H9" t="s">
        <v>106</v>
      </c>
      <c r="I9">
        <v>2</v>
      </c>
      <c r="J9">
        <v>2</v>
      </c>
      <c r="K9">
        <f>IF(tDatosMaestros[[#This Row],[TIPO PROFESOR]]="HRS", 3,2)</f>
        <v>3</v>
      </c>
      <c r="L9" t="str">
        <f>_xlfn.IFNA( INDEX(LabID[ID], MATCH( INDEX(LaboratoriosMaterias[Laboratorio], MATCH(tDatosMaestros[[#This Row],[ASIGNATURA]],LaboratoriosMaterias[Materia],0)), LabID[Laboratorio],0)), "")</f>
        <v>MN</v>
      </c>
      <c r="M9" t="str">
        <f>_xlfn.IFNA( INDEX(LabID[ID], MATCH( INDEX(LaboratoriosMaterias[LaboratorioB], MATCH(tDatosMaestros[[#This Row],[ASIGNATURA]],LaboratoriosMaterias[Materia],0)), LabID[Laboratorio],0)), "")</f>
        <v>MS</v>
      </c>
      <c r="N9">
        <v>0</v>
      </c>
      <c r="O9">
        <v>10</v>
      </c>
    </row>
    <row r="10" spans="1:15" x14ac:dyDescent="0.25">
      <c r="A10" s="1">
        <v>194</v>
      </c>
      <c r="B10" s="24" t="str">
        <f>"Nombre maestro "&amp;tDatosMaestros[[#This Row],[NO_CONTROL]]</f>
        <v>Nombre maestro 194</v>
      </c>
      <c r="C10" s="24" t="s">
        <v>64</v>
      </c>
      <c r="D10" s="1">
        <v>5</v>
      </c>
      <c r="E10" s="1" t="s">
        <v>32</v>
      </c>
      <c r="F10" t="s">
        <v>9</v>
      </c>
      <c r="G10" t="s">
        <v>10</v>
      </c>
      <c r="H10" t="s">
        <v>107</v>
      </c>
      <c r="I10">
        <v>3</v>
      </c>
      <c r="J10">
        <v>2</v>
      </c>
      <c r="K10">
        <f>IF(tDatosMaestros[[#This Row],[TIPO PROFESOR]]="HRS", 3,2)</f>
        <v>3</v>
      </c>
      <c r="L10" t="str">
        <f>_xlfn.IFNA( INDEX(LabID[ID], MATCH( INDEX(LaboratoriosMaterias[Laboratorio], MATCH(tDatosMaestros[[#This Row],[ASIGNATURA]],LaboratoriosMaterias[Materia],0)), LabID[Laboratorio],0)), "")</f>
        <v>MN</v>
      </c>
      <c r="M10" t="str">
        <f>_xlfn.IFNA( INDEX(LabID[ID], MATCH( INDEX(LaboratoriosMaterias[LaboratorioB], MATCH(tDatosMaestros[[#This Row],[ASIGNATURA]],LaboratoriosMaterias[Materia],0)), LabID[Laboratorio],0)), "")</f>
        <v>MS</v>
      </c>
      <c r="N10">
        <v>0</v>
      </c>
      <c r="O10">
        <v>10</v>
      </c>
    </row>
    <row r="11" spans="1:15" x14ac:dyDescent="0.25">
      <c r="A11" s="1">
        <v>194</v>
      </c>
      <c r="B11" s="24" t="str">
        <f>"Nombre maestro "&amp;tDatosMaestros[[#This Row],[NO_CONTROL]]</f>
        <v>Nombre maestro 194</v>
      </c>
      <c r="C11" s="24" t="s">
        <v>40</v>
      </c>
      <c r="D11" s="1">
        <v>4</v>
      </c>
      <c r="E11" s="1" t="s">
        <v>33</v>
      </c>
      <c r="F11" t="s">
        <v>9</v>
      </c>
      <c r="G11" t="s">
        <v>10</v>
      </c>
      <c r="H11" t="s">
        <v>108</v>
      </c>
      <c r="I11">
        <v>2</v>
      </c>
      <c r="J11">
        <v>2</v>
      </c>
      <c r="K11">
        <f>IF(tDatosMaestros[[#This Row],[TIPO PROFESOR]]="HRS", 3,2)</f>
        <v>3</v>
      </c>
      <c r="L11" t="str">
        <f>_xlfn.IFNA( INDEX(LabID[ID], MATCH( INDEX(LaboratoriosMaterias[Laboratorio], MATCH(tDatosMaestros[[#This Row],[ASIGNATURA]],LaboratoriosMaterias[Materia],0)), LabID[Laboratorio],0)), "")</f>
        <v>MN</v>
      </c>
      <c r="M11" t="str">
        <f>_xlfn.IFNA( INDEX(LabID[ID], MATCH( INDEX(LaboratoriosMaterias[LaboratorioB], MATCH(tDatosMaestros[[#This Row],[ASIGNATURA]],LaboratoriosMaterias[Materia],0)), LabID[Laboratorio],0)),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24" t="str">
        <f>"Nombre maestro "&amp;tDatosMaestros[[#This Row],[NO_CONTROL]]</f>
        <v>Nombre maestro 194</v>
      </c>
      <c r="C12" s="24" t="s">
        <v>41</v>
      </c>
      <c r="D12" s="1">
        <v>4</v>
      </c>
      <c r="E12" s="1" t="s">
        <v>34</v>
      </c>
      <c r="F12" t="s">
        <v>9</v>
      </c>
      <c r="G12" t="s">
        <v>10</v>
      </c>
      <c r="H12" t="s">
        <v>109</v>
      </c>
      <c r="I12">
        <v>2</v>
      </c>
      <c r="J12">
        <v>2</v>
      </c>
      <c r="K12">
        <f>IF(tDatosMaestros[[#This Row],[TIPO PROFESOR]]="HRS", 3,2)</f>
        <v>3</v>
      </c>
      <c r="L12" t="str">
        <f>_xlfn.IFNA( INDEX(LabID[ID], MATCH( INDEX(LaboratoriosMaterias[Laboratorio], MATCH(tDatosMaestros[[#This Row],[ASIGNATURA]],LaboratoriosMaterias[Materia],0)), LabID[Laboratorio],0)), "")</f>
        <v>MN</v>
      </c>
      <c r="M12" t="str">
        <f>_xlfn.IFNA( INDEX(LabID[ID], MATCH( INDEX(LaboratoriosMaterias[LaboratorioB], MATCH(tDatosMaestros[[#This Row],[ASIGNATURA]],LaboratoriosMaterias[Materia],0)), LabID[Laboratorio],0)), "")</f>
        <v>MS</v>
      </c>
      <c r="N12">
        <v>0</v>
      </c>
      <c r="O12">
        <v>10</v>
      </c>
    </row>
    <row r="13" spans="1:15" x14ac:dyDescent="0.25">
      <c r="A13" s="1">
        <v>1017</v>
      </c>
      <c r="B13" s="24" t="str">
        <f>"Nombre maestro "&amp;tDatosMaestros[[#This Row],[NO_CONTROL]]</f>
        <v>Nombre maestro 1017</v>
      </c>
      <c r="C13" s="24" t="s">
        <v>121</v>
      </c>
      <c r="D13" s="1">
        <v>4</v>
      </c>
      <c r="E13" s="1" t="s">
        <v>12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_xlfn.IFNA( INDEX(LabID[ID], MATCH( INDEX(LaboratoriosMaterias[Laboratorio], MATCH(tDatosMaestros[[#This Row],[ASIGNATURA]],LaboratoriosMaterias[Materia],0)), LabID[Laboratorio],0)), "")</f>
        <v>MN</v>
      </c>
      <c r="M13" t="str">
        <f>_xlfn.IFNA( INDEX(LabID[ID], MATCH( INDEX(LaboratoriosMaterias[LaboratorioB], MATCH(tDatosMaestros[[#This Row],[ASIGNATURA]],LaboratoriosMaterias[Materia],0)), LabID[Laboratorio],0)), "")</f>
        <v/>
      </c>
      <c r="N13">
        <v>0</v>
      </c>
      <c r="O13">
        <v>10</v>
      </c>
    </row>
    <row r="14" spans="1:15" x14ac:dyDescent="0.25">
      <c r="A14" s="1">
        <v>1230</v>
      </c>
      <c r="B14" s="24" t="str">
        <f>"Nombre maestro "&amp;tDatosMaestros[[#This Row],[NO_CONTROL]]</f>
        <v>Nombre maestro 1230</v>
      </c>
      <c r="C14" s="24" t="s">
        <v>41</v>
      </c>
      <c r="D14" s="1">
        <v>4</v>
      </c>
      <c r="E14" s="1" t="s">
        <v>32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_xlfn.IFNA( INDEX(LabID[ID], MATCH( INDEX(LaboratoriosMaterias[Laboratorio], MATCH(tDatosMaestros[[#This Row],[ASIGNATURA]],LaboratoriosMaterias[Materia],0)), LabID[Laboratorio],0)), "")</f>
        <v>MN</v>
      </c>
      <c r="M14" t="str">
        <f>_xlfn.IFNA( INDEX(LabID[ID], MATCH( INDEX(LaboratoriosMaterias[LaboratorioB], MATCH(tDatosMaestros[[#This Row],[ASIGNATURA]],LaboratoriosMaterias[Materia],0)), LabID[Laboratorio],0)), "")</f>
        <v>MS</v>
      </c>
      <c r="N14">
        <v>0</v>
      </c>
      <c r="O14">
        <v>10</v>
      </c>
    </row>
    <row r="15" spans="1:15" x14ac:dyDescent="0.25">
      <c r="A15" s="1">
        <v>1230</v>
      </c>
      <c r="B15" s="24" t="str">
        <f>"Nombre maestro "&amp;tDatosMaestros[[#This Row],[NO_CONTROL]]</f>
        <v>Nombre maestro 1230</v>
      </c>
      <c r="C15" s="24" t="s">
        <v>64</v>
      </c>
      <c r="D15" s="1">
        <v>5</v>
      </c>
      <c r="E15" s="1" t="s">
        <v>34</v>
      </c>
      <c r="F15" t="s">
        <v>9</v>
      </c>
      <c r="G15" t="s">
        <v>10</v>
      </c>
      <c r="H15" t="s">
        <v>107</v>
      </c>
      <c r="I15">
        <v>3</v>
      </c>
      <c r="J15">
        <v>2</v>
      </c>
      <c r="K15">
        <f>IF(tDatosMaestros[[#This Row],[TIPO PROFESOR]]="HRS", 3,2)</f>
        <v>3</v>
      </c>
      <c r="L15" t="str">
        <f>_xlfn.IFNA( INDEX(LabID[ID], MATCH( INDEX(LaboratoriosMaterias[Laboratorio], MATCH(tDatosMaestros[[#This Row],[ASIGNATURA]],LaboratoriosMaterias[Materia],0)), LabID[Laboratorio],0)), "")</f>
        <v>MN</v>
      </c>
      <c r="M15" t="str">
        <f>_xlfn.IFNA( INDEX(LabID[ID], MATCH( INDEX(LaboratoriosMaterias[LaboratorioB], MATCH(tDatosMaestros[[#This Row],[ASIGNATURA]],LaboratoriosMaterias[Materia],0)), LabID[Laboratorio],0)), "")</f>
        <v>MS</v>
      </c>
      <c r="N15">
        <v>0</v>
      </c>
      <c r="O15">
        <v>10</v>
      </c>
    </row>
    <row r="16" spans="1:15" x14ac:dyDescent="0.25">
      <c r="A16" s="30">
        <v>3010</v>
      </c>
      <c r="B16" s="31" t="str">
        <f>"Nombre maestro "&amp;tDatosMaestros[[#This Row],[NO_CONTROL]]</f>
        <v>Nombre maestro 3010</v>
      </c>
      <c r="C16" s="31" t="s">
        <v>121</v>
      </c>
      <c r="D16" s="30">
        <v>4</v>
      </c>
      <c r="E16" s="30" t="s">
        <v>8</v>
      </c>
      <c r="F16" s="32" t="s">
        <v>9</v>
      </c>
      <c r="G16" s="32" t="s">
        <v>10</v>
      </c>
      <c r="H16" s="32" t="s">
        <v>122</v>
      </c>
      <c r="I16" s="32">
        <v>2</v>
      </c>
      <c r="J16" s="32">
        <v>2</v>
      </c>
      <c r="K16">
        <f>IF(tDatosMaestros[[#This Row],[TIPO PROFESOR]]="HRS", 3,2)</f>
        <v>3</v>
      </c>
      <c r="L16" t="str">
        <f>_xlfn.IFNA( INDEX(LabID[ID], MATCH( INDEX(LaboratoriosMaterias[Laboratorio], MATCH(tDatosMaestros[[#This Row],[ASIGNATURA]],LaboratoriosMaterias[Materia],0)), LabID[Laboratorio],0)), "")</f>
        <v>MN</v>
      </c>
      <c r="M16" t="str">
        <f>_xlfn.IFNA( INDEX(LabID[ID], MATCH( INDEX(LaboratoriosMaterias[LaboratorioB], MATCH(tDatosMaestros[[#This Row],[ASIGNATURA]],LaboratoriosMaterias[Materia],0)), LabID[Laboratorio],0)), "")</f>
        <v/>
      </c>
      <c r="N16">
        <v>0</v>
      </c>
      <c r="O16">
        <v>10</v>
      </c>
    </row>
    <row r="17" spans="1:15" x14ac:dyDescent="0.25">
      <c r="A17" s="1">
        <v>4179</v>
      </c>
      <c r="B17" s="24" t="str">
        <f>"Nombre maestro "&amp;tDatosMaestros[[#This Row],[NO_CONTROL]]</f>
        <v>Nombre maestro 4179</v>
      </c>
      <c r="C17" s="24" t="s">
        <v>121</v>
      </c>
      <c r="D17" s="1">
        <v>4</v>
      </c>
      <c r="E17" s="1" t="s">
        <v>30</v>
      </c>
      <c r="F17" t="s">
        <v>9</v>
      </c>
      <c r="G17" t="s">
        <v>10</v>
      </c>
      <c r="H17" t="s">
        <v>122</v>
      </c>
      <c r="I17">
        <v>2</v>
      </c>
      <c r="J17">
        <v>2</v>
      </c>
      <c r="K17">
        <f>IF(tDatosMaestros[[#This Row],[TIPO PROFESOR]]="HRS", 3,2)</f>
        <v>3</v>
      </c>
      <c r="L17" t="str">
        <f>_xlfn.IFNA( INDEX(LabID[ID], MATCH( INDEX(LaboratoriosMaterias[Laboratorio], MATCH(tDatosMaestros[[#This Row],[ASIGNATURA]],LaboratoriosMaterias[Materia],0)), LabID[Laboratorio],0)), "")</f>
        <v>MN</v>
      </c>
      <c r="M17" t="str">
        <f>_xlfn.IFNA( INDEX(LabID[ID], MATCH( INDEX(LaboratoriosMaterias[LaboratorioB], MATCH(tDatosMaestros[[#This Row],[ASIGNATURA]],LaboratoriosMaterias[Materia],0)), LabID[Laboratorio],0)), "")</f>
        <v/>
      </c>
      <c r="N17">
        <v>0</v>
      </c>
      <c r="O17">
        <v>10</v>
      </c>
    </row>
    <row r="18" spans="1:15" x14ac:dyDescent="0.25">
      <c r="A18" s="1">
        <v>4179</v>
      </c>
      <c r="B18" s="24" t="str">
        <f>"Nombre maestro "&amp;tDatosMaestros[[#This Row],[NO_CONTROL]]</f>
        <v>Nombre maestro 4179</v>
      </c>
      <c r="C18" s="24" t="s">
        <v>121</v>
      </c>
      <c r="D18" s="1">
        <v>4</v>
      </c>
      <c r="E18" s="1" t="s">
        <v>20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_xlfn.IFNA( INDEX(LabID[ID], MATCH( INDEX(LaboratoriosMaterias[Laboratorio], MATCH(tDatosMaestros[[#This Row],[ASIGNATURA]],LaboratoriosMaterias[Materia],0)), LabID[Laboratorio],0)), "")</f>
        <v>MN</v>
      </c>
      <c r="M18" t="str">
        <f>_xlfn.IFNA( INDEX(LabID[ID], MATCH( INDEX(LaboratoriosMaterias[LaboratorioB], MATCH(tDatosMaestros[[#This Row],[ASIGNATURA]],LaboratoriosMaterias[Materia],0)), LabID[Laboratorio],0)),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24" t="str">
        <f>"Nombre maestro "&amp;tDatosMaestros[[#This Row],[NO_CONTROL]]</f>
        <v>Nombre maestro 4179</v>
      </c>
      <c r="C19" s="24" t="s">
        <v>121</v>
      </c>
      <c r="D19" s="1">
        <v>4</v>
      </c>
      <c r="E19" s="1" t="s">
        <v>16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_xlfn.IFNA( INDEX(LabID[ID], MATCH( INDEX(LaboratoriosMaterias[Laboratorio], MATCH(tDatosMaestros[[#This Row],[ASIGNATURA]],LaboratoriosMaterias[Materia],0)), LabID[Laboratorio],0)), "")</f>
        <v>MN</v>
      </c>
      <c r="M19" t="str">
        <f>_xlfn.IFNA( INDEX(LabID[ID], MATCH( INDEX(LaboratoriosMaterias[LaboratorioB], MATCH(tDatosMaestros[[#This Row],[ASIGNATURA]],LaboratoriosMaterias[Materia],0)), LabID[Laboratorio],0)),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24" t="str">
        <f>"Nombre maestro "&amp;tDatosMaestros[[#This Row],[NO_CONTROL]]</f>
        <v>Nombre maestro 4179</v>
      </c>
      <c r="C20" s="24" t="s">
        <v>121</v>
      </c>
      <c r="D20" s="1">
        <v>4</v>
      </c>
      <c r="E20" s="1" t="s">
        <v>17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_xlfn.IFNA( INDEX(LabID[ID], MATCH( INDEX(LaboratoriosMaterias[Laboratorio], MATCH(tDatosMaestros[[#This Row],[ASIGNATURA]],LaboratoriosMaterias[Materia],0)), LabID[Laboratorio],0)), "")</f>
        <v>MN</v>
      </c>
      <c r="M20" t="str">
        <f>_xlfn.IFNA( INDEX(LabID[ID], MATCH( INDEX(LaboratoriosMaterias[LaboratorioB], MATCH(tDatosMaestros[[#This Row],[ASIGNATURA]],LaboratoriosMaterias[Materia],0)), LabID[Laboratorio],0)),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24" t="str">
        <f>"Nombre maestro "&amp;tDatosMaestros[[#This Row],[NO_CONTROL]]</f>
        <v>Nombre maestro 4179</v>
      </c>
      <c r="C21" s="24" t="s">
        <v>121</v>
      </c>
      <c r="D21" s="1">
        <v>4</v>
      </c>
      <c r="E21" s="1" t="s">
        <v>18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_xlfn.IFNA( INDEX(LabID[ID], MATCH( INDEX(LaboratoriosMaterias[Laboratorio], MATCH(tDatosMaestros[[#This Row],[ASIGNATURA]],LaboratoriosMaterias[Materia],0)), LabID[Laboratorio],0)), "")</f>
        <v>MN</v>
      </c>
      <c r="M21" t="str">
        <f>_xlfn.IFNA( INDEX(LabID[ID], MATCH( INDEX(LaboratoriosMaterias[LaboratorioB], MATCH(tDatosMaestros[[#This Row],[ASIGNATURA]],LaboratoriosMaterias[Materia],0)), LabID[Laboratorio],0)),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24" t="str">
        <f>"Nombre maestro "&amp;tDatosMaestros[[#This Row],[NO_CONTROL]]</f>
        <v>Nombre maestro 4179</v>
      </c>
      <c r="C22" s="24" t="s">
        <v>121</v>
      </c>
      <c r="D22" s="1">
        <v>4</v>
      </c>
      <c r="E22" s="1" t="s">
        <v>43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_xlfn.IFNA( INDEX(LabID[ID], MATCH( INDEX(LaboratoriosMaterias[Laboratorio], MATCH(tDatosMaestros[[#This Row],[ASIGNATURA]],LaboratoriosMaterias[Materia],0)), LabID[Laboratorio],0)), "")</f>
        <v>MN</v>
      </c>
      <c r="M22" t="str">
        <f>_xlfn.IFNA( INDEX(LabID[ID], MATCH( INDEX(LaboratoriosMaterias[LaboratorioB], MATCH(tDatosMaestros[[#This Row],[ASIGNATURA]],LaboratoriosMaterias[Materia],0)), LabID[Laboratorio],0)),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24" t="str">
        <f>"Nombre maestro "&amp;tDatosMaestros[[#This Row],[NO_CONTROL]]</f>
        <v>Nombre maestro 4179</v>
      </c>
      <c r="C23" s="24" t="s">
        <v>56</v>
      </c>
      <c r="D23" s="1">
        <v>4</v>
      </c>
      <c r="E23" s="1" t="s">
        <v>24</v>
      </c>
      <c r="F23" t="s">
        <v>9</v>
      </c>
      <c r="G23" t="s">
        <v>10</v>
      </c>
      <c r="H23" t="s">
        <v>124</v>
      </c>
      <c r="I23">
        <v>2</v>
      </c>
      <c r="J23">
        <v>2</v>
      </c>
      <c r="K23">
        <f>IF(tDatosMaestros[[#This Row],[TIPO PROFESOR]]="HRS", 3,2)</f>
        <v>3</v>
      </c>
      <c r="L23" t="str">
        <f>_xlfn.IFNA( INDEX(LabID[ID], MATCH( INDEX(LaboratoriosMaterias[Laboratorio], MATCH(tDatosMaestros[[#This Row],[ASIGNATURA]],LaboratoriosMaterias[Materia],0)), LabID[Laboratorio],0)), "")</f>
        <v>MN</v>
      </c>
      <c r="M23" t="str">
        <f>_xlfn.IFNA( INDEX(LabID[ID], MATCH( INDEX(LaboratoriosMaterias[LaboratorioB], MATCH(tDatosMaestros[[#This Row],[ASIGNATURA]],LaboratoriosMaterias[Materia],0)), LabID[Laboratorio],0)), "")</f>
        <v>MS</v>
      </c>
      <c r="N23">
        <v>0</v>
      </c>
      <c r="O23">
        <v>10</v>
      </c>
    </row>
    <row r="24" spans="1:15" x14ac:dyDescent="0.25">
      <c r="A24" s="1">
        <v>4179</v>
      </c>
      <c r="B24" s="24" t="str">
        <f>"Nombre maestro "&amp;tDatosMaestros[[#This Row],[NO_CONTROL]]</f>
        <v>Nombre maestro 4179</v>
      </c>
      <c r="C24" s="24" t="s">
        <v>56</v>
      </c>
      <c r="D24" s="1">
        <v>4</v>
      </c>
      <c r="E24" s="1" t="s">
        <v>26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_xlfn.IFNA( INDEX(LabID[ID], MATCH( INDEX(LaboratoriosMaterias[Laboratorio], MATCH(tDatosMaestros[[#This Row],[ASIGNATURA]],LaboratoriosMaterias[Materia],0)), LabID[Laboratorio],0)), "")</f>
        <v>MN</v>
      </c>
      <c r="M24" t="str">
        <f>_xlfn.IFNA( INDEX(LabID[ID], MATCH( INDEX(LaboratoriosMaterias[LaboratorioB], MATCH(tDatosMaestros[[#This Row],[ASIGNATURA]],LaboratoriosMaterias[Materia],0)), LabID[Laboratorio],0)), "")</f>
        <v>MS</v>
      </c>
      <c r="N24">
        <v>2</v>
      </c>
      <c r="O24">
        <v>10</v>
      </c>
    </row>
    <row r="25" spans="1:15" x14ac:dyDescent="0.25">
      <c r="A25" s="2">
        <v>5707</v>
      </c>
      <c r="B25" s="25" t="str">
        <f>"Nombre maestro "&amp;tDatosMaestros[[#This Row],[NO_CONTROL]]</f>
        <v>Nombre maestro 5707</v>
      </c>
      <c r="C25" s="25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_xlfn.IFNA( INDEX(LabID[ID], MATCH( INDEX(LaboratoriosMaterias[Laboratorio], MATCH(tDatosMaestros[[#This Row],[ASIGNATURA]],LaboratoriosMaterias[Materia],0)), LabID[Laboratorio],0)), "")</f>
        <v>MN</v>
      </c>
      <c r="M25" t="str">
        <f>_xlfn.IFNA( INDEX(LabID[ID], MATCH( INDEX(LaboratoriosMaterias[LaboratorioB], MATCH(tDatosMaestros[[#This Row],[ASIGNATURA]],LaboratoriosMaterias[Materia],0)), LabID[Laboratorio],0)),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25" t="str">
        <f>"Nombre maestro "&amp;tDatosMaestros[[#This Row],[NO_CONTROL]]</f>
        <v>Nombre maestro 5707</v>
      </c>
      <c r="C26" s="25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_xlfn.IFNA( INDEX(LabID[ID], MATCH( INDEX(LaboratoriosMaterias[Laboratorio], MATCH(tDatosMaestros[[#This Row],[ASIGNATURA]],LaboratoriosMaterias[Materia],0)), LabID[Laboratorio],0)), "")</f>
        <v>MN</v>
      </c>
      <c r="M26" t="str">
        <f>_xlfn.IFNA( INDEX(LabID[ID], MATCH( INDEX(LaboratoriosMaterias[LaboratorioB], MATCH(tDatosMaestros[[#This Row],[ASIGNATURA]],LaboratoriosMaterias[Materia],0)), LabID[Laboratorio],0)),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25" t="str">
        <f>"Nombre maestro "&amp;tDatosMaestros[[#This Row],[NO_CONTROL]]</f>
        <v>Nombre maestro 5707</v>
      </c>
      <c r="C27" s="25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_xlfn.IFNA( INDEX(LabID[ID], MATCH( INDEX(LaboratoriosMaterias[Laboratorio], MATCH(tDatosMaestros[[#This Row],[ASIGNATURA]],LaboratoriosMaterias[Materia],0)), LabID[Laboratorio],0)), "")</f>
        <v>MN</v>
      </c>
      <c r="M27" t="str">
        <f>_xlfn.IFNA( INDEX(LabID[ID], MATCH( INDEX(LaboratoriosMaterias[LaboratorioB], MATCH(tDatosMaestros[[#This Row],[ASIGNATURA]],LaboratoriosMaterias[Materia],0)), LabID[Laboratorio],0)),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25" t="str">
        <f>"Nombre maestro "&amp;tDatosMaestros[[#This Row],[NO_CONTROL]]</f>
        <v>Nombre maestro 1260</v>
      </c>
      <c r="C28" s="25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_xlfn.IFNA( INDEX(LabID[ID], MATCH( INDEX(LaboratoriosMaterias[Laboratorio], MATCH(tDatosMaestros[[#This Row],[ASIGNATURA]],LaboratoriosMaterias[Materia],0)), LabID[Laboratorio],0)), "")</f>
        <v>LQ</v>
      </c>
      <c r="M28" t="str">
        <f>_xlfn.IFNA( INDEX(LabID[ID], MATCH( INDEX(LaboratoriosMaterias[LaboratorioB], MATCH(tDatosMaestros[[#This Row],[ASIGNATURA]],LaboratoriosMaterias[Materia],0)), LabID[Laboratorio],0)),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25" t="str">
        <f>"Nombre maestro "&amp;tDatosMaestros[[#This Row],[NO_CONTROL]]</f>
        <v>Nombre maestro 1260</v>
      </c>
      <c r="C29" s="25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_xlfn.IFNA( INDEX(LabID[ID], MATCH( INDEX(LaboratoriosMaterias[Laboratorio], MATCH(tDatosMaestros[[#This Row],[ASIGNATURA]],LaboratoriosMaterias[Materia],0)), LabID[Laboratorio],0)), "")</f>
        <v>LQ</v>
      </c>
      <c r="M29" t="str">
        <f>_xlfn.IFNA( INDEX(LabID[ID], MATCH( INDEX(LaboratoriosMaterias[LaboratorioB], MATCH(tDatosMaestros[[#This Row],[ASIGNATURA]],LaboratoriosMaterias[Materia],0)), LabID[Laboratorio],0)),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25" t="str">
        <f>"Nombre maestro "&amp;tDatosMaestros[[#This Row],[NO_CONTROL]]</f>
        <v>Nombre maestro 1260</v>
      </c>
      <c r="C30" s="25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_xlfn.IFNA( INDEX(LabID[ID], MATCH( INDEX(LaboratoriosMaterias[Laboratorio], MATCH(tDatosMaestros[[#This Row],[ASIGNATURA]],LaboratoriosMaterias[Materia],0)), LabID[Laboratorio],0)), "")</f>
        <v>LQ</v>
      </c>
      <c r="M30" t="str">
        <f>_xlfn.IFNA( INDEX(LabID[ID], MATCH( INDEX(LaboratoriosMaterias[LaboratorioB], MATCH(tDatosMaestros[[#This Row],[ASIGNATURA]],LaboratoriosMaterias[Materia],0)), LabID[Laboratorio],0)),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25" t="str">
        <f>"Nombre maestro "&amp;tDatosMaestros[[#This Row],[NO_CONTROL]]</f>
        <v>Nombre maestro 1260</v>
      </c>
      <c r="C31" s="25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_xlfn.IFNA( INDEX(LabID[ID], MATCH( INDEX(LaboratoriosMaterias[Laboratorio], MATCH(tDatosMaestros[[#This Row],[ASIGNATURA]],LaboratoriosMaterias[Materia],0)), LabID[Laboratorio],0)), "")</f>
        <v>LQ</v>
      </c>
      <c r="M31" t="str">
        <f>_xlfn.IFNA( INDEX(LabID[ID], MATCH( INDEX(LaboratoriosMaterias[LaboratorioB], MATCH(tDatosMaestros[[#This Row],[ASIGNATURA]],LaboratoriosMaterias[Materia],0)), LabID[Laboratorio],0)),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24" t="str">
        <f>"Nombre maestro "&amp;tDatosMaestros[[#This Row],[NO_CONTROL]]</f>
        <v>Nombre maestro 2593</v>
      </c>
      <c r="C32" s="24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_xlfn.IFNA( INDEX(LabID[ID], MATCH( INDEX(LaboratoriosMaterias[Laboratorio], MATCH(tDatosMaestros[[#This Row],[ASIGNATURA]],LaboratoriosMaterias[Materia],0)), LabID[Laboratorio],0)), "")</f>
        <v>LQ</v>
      </c>
      <c r="M32" t="str">
        <f>_xlfn.IFNA( INDEX(LabID[ID], MATCH( INDEX(LaboratoriosMaterias[LaboratorioB], MATCH(tDatosMaestros[[#This Row],[ASIGNATURA]],LaboratoriosMaterias[Materia],0)), LabID[Laboratorio],0)),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24" t="str">
        <f>"Nombre maestro "&amp;tDatosMaestros[[#This Row],[NO_CONTROL]]</f>
        <v>Nombre maestro 2593</v>
      </c>
      <c r="C33" s="24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_xlfn.IFNA( INDEX(LabID[ID], MATCH( INDEX(LaboratoriosMaterias[Laboratorio], MATCH(tDatosMaestros[[#This Row],[ASIGNATURA]],LaboratoriosMaterias[Materia],0)), LabID[Laboratorio],0)), "")</f>
        <v>LQ</v>
      </c>
      <c r="M33" t="str">
        <f>_xlfn.IFNA( INDEX(LabID[ID], MATCH( INDEX(LaboratoriosMaterias[LaboratorioB], MATCH(tDatosMaestros[[#This Row],[ASIGNATURA]],LaboratoriosMaterias[Materia],0)), LabID[Laboratorio],0)),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24" t="str">
        <f>"Nombre maestro "&amp;tDatosMaestros[[#This Row],[NO_CONTROL]]</f>
        <v>Nombre maestro 2593</v>
      </c>
      <c r="C34" s="24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_xlfn.IFNA( INDEX(LabID[ID], MATCH( INDEX(LaboratoriosMaterias[Laboratorio], MATCH(tDatosMaestros[[#This Row],[ASIGNATURA]],LaboratoriosMaterias[Materia],0)), LabID[Laboratorio],0)), "")</f>
        <v>LQ</v>
      </c>
      <c r="M34" t="str">
        <f>_xlfn.IFNA( INDEX(LabID[ID], MATCH( INDEX(LaboratoriosMaterias[LaboratorioB], MATCH(tDatosMaestros[[#This Row],[ASIGNATURA]],LaboratoriosMaterias[Materia],0)), LabID[Laboratorio],0)),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24" t="str">
        <f>"Nombre maestro "&amp;tDatosMaestros[[#This Row],[NO_CONTROL]]</f>
        <v>Nombre maestro 2593</v>
      </c>
      <c r="C35" s="24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_xlfn.IFNA( INDEX(LabID[ID], MATCH( INDEX(LaboratoriosMaterias[Laboratorio], MATCH(tDatosMaestros[[#This Row],[ASIGNATURA]],LaboratoriosMaterias[Materia],0)), LabID[Laboratorio],0)), "")</f>
        <v>LQ</v>
      </c>
      <c r="M35" t="str">
        <f>_xlfn.IFNA( INDEX(LabID[ID], MATCH( INDEX(LaboratoriosMaterias[LaboratorioB], MATCH(tDatosMaestros[[#This Row],[ASIGNATURA]],LaboratoriosMaterias[Materia],0)), LabID[Laboratorio],0)),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25" t="str">
        <f>"Nombre maestro "&amp;tDatosMaestros[[#This Row],[NO_CONTROL]]</f>
        <v>Nombre maestro 76</v>
      </c>
      <c r="C36" s="25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_xlfn.IFNA( INDEX(LabID[ID], MATCH( INDEX(LaboratoriosMaterias[Laboratorio], MATCH(tDatosMaestros[[#This Row],[ASIGNATURA]],LaboratoriosMaterias[Materia],0)), LabID[Laboratorio],0)), "")</f>
        <v>LF</v>
      </c>
      <c r="M36" t="str">
        <f>_xlfn.IFNA( INDEX(LabID[ID], MATCH( INDEX(LaboratoriosMaterias[LaboratorioB], MATCH(tDatosMaestros[[#This Row],[ASIGNATURA]],LaboratoriosMaterias[Materia],0)), LabID[Laboratorio],0)),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25" t="str">
        <f>"Nombre maestro "&amp;tDatosMaestros[[#This Row],[NO_CONTROL]]</f>
        <v>Nombre maestro 76</v>
      </c>
      <c r="C37" s="25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_xlfn.IFNA( INDEX(LabID[ID], MATCH( INDEX(LaboratoriosMaterias[Laboratorio], MATCH(tDatosMaestros[[#This Row],[ASIGNATURA]],LaboratoriosMaterias[Materia],0)), LabID[Laboratorio],0)), "")</f>
        <v>LF</v>
      </c>
      <c r="M37" t="str">
        <f>_xlfn.IFNA( INDEX(LabID[ID], MATCH( INDEX(LaboratoriosMaterias[LaboratorioB], MATCH(tDatosMaestros[[#This Row],[ASIGNATURA]],LaboratoriosMaterias[Materia],0)), LabID[Laboratorio],0)),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25" t="str">
        <f>"Nombre maestro "&amp;tDatosMaestros[[#This Row],[NO_CONTROL]]</f>
        <v>Nombre maestro 76</v>
      </c>
      <c r="C38" s="25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_xlfn.IFNA( INDEX(LabID[ID], MATCH( INDEX(LaboratoriosMaterias[Laboratorio], MATCH(tDatosMaestros[[#This Row],[ASIGNATURA]],LaboratoriosMaterias[Materia],0)), LabID[Laboratorio],0)), "")</f>
        <v>LF</v>
      </c>
      <c r="M38" t="str">
        <f>_xlfn.IFNA( INDEX(LabID[ID], MATCH( INDEX(LaboratoriosMaterias[LaboratorioB], MATCH(tDatosMaestros[[#This Row],[ASIGNATURA]],LaboratoriosMaterias[Materia],0)), LabID[Laboratorio],0)),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25" t="str">
        <f>"Nombre maestro "&amp;tDatosMaestros[[#This Row],[NO_CONTROL]]</f>
        <v>Nombre maestro 76</v>
      </c>
      <c r="C39" s="25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_xlfn.IFNA( INDEX(LabID[ID], MATCH( INDEX(LaboratoriosMaterias[Laboratorio], MATCH(tDatosMaestros[[#This Row],[ASIGNATURA]],LaboratoriosMaterias[Materia],0)), LabID[Laboratorio],0)), "")</f>
        <v>LF</v>
      </c>
      <c r="M39" t="str">
        <f>_xlfn.IFNA( INDEX(LabID[ID], MATCH( INDEX(LaboratoriosMaterias[LaboratorioB], MATCH(tDatosMaestros[[#This Row],[ASIGNATURA]],LaboratoriosMaterias[Materia],0)), LabID[Laboratorio],0)),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24" t="str">
        <f>"Nombre maestro "&amp;tDatosMaestros[[#This Row],[NO_CONTROL]]</f>
        <v>Nombre maestro 839</v>
      </c>
      <c r="C40" s="24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_xlfn.IFNA( INDEX(LabID[ID], MATCH( INDEX(LaboratoriosMaterias[Laboratorio], MATCH(tDatosMaestros[[#This Row],[ASIGNATURA]],LaboratoriosMaterias[Materia],0)), LabID[Laboratorio],0)), "")</f>
        <v>LF</v>
      </c>
      <c r="M40" t="str">
        <f>_xlfn.IFNA( INDEX(LabID[ID], MATCH( INDEX(LaboratoriosMaterias[LaboratorioB], MATCH(tDatosMaestros[[#This Row],[ASIGNATURA]],LaboratoriosMaterias[Materia],0)), LabID[Laboratorio],0)),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24" t="str">
        <f>"Nombre maestro "&amp;tDatosMaestros[[#This Row],[NO_CONTROL]]</f>
        <v>Nombre maestro 839</v>
      </c>
      <c r="C41" s="24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_xlfn.IFNA( INDEX(LabID[ID], MATCH( INDEX(LaboratoriosMaterias[Laboratorio], MATCH(tDatosMaestros[[#This Row],[ASIGNATURA]],LaboratoriosMaterias[Materia],0)), LabID[Laboratorio],0)), "")</f>
        <v>LF</v>
      </c>
      <c r="M41" t="str">
        <f>_xlfn.IFNA( INDEX(LabID[ID], MATCH( INDEX(LaboratoriosMaterias[LaboratorioB], MATCH(tDatosMaestros[[#This Row],[ASIGNATURA]],LaboratoriosMaterias[Materia],0)), LabID[Laboratorio],0)),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24" t="str">
        <f>"Nombre maestro "&amp;tDatosMaestros[[#This Row],[NO_CONTROL]]</f>
        <v>Nombre maestro 1017</v>
      </c>
      <c r="C42" s="24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_xlfn.IFNA( INDEX(LabID[ID], MATCH( INDEX(LaboratoriosMaterias[Laboratorio], MATCH(tDatosMaestros[[#This Row],[ASIGNATURA]],LaboratoriosMaterias[Materia],0)), LabID[Laboratorio],0)), "")</f>
        <v>LF</v>
      </c>
      <c r="M42" t="str">
        <f>_xlfn.IFNA( INDEX(LabID[ID], MATCH( INDEX(LaboratoriosMaterias[LaboratorioB], MATCH(tDatosMaestros[[#This Row],[ASIGNATURA]],LaboratoriosMaterias[Materia],0)), LabID[Laboratorio],0)),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24" t="str">
        <f>"Nombre maestro "&amp;tDatosMaestros[[#This Row],[NO_CONTROL]]</f>
        <v>Nombre maestro 1906</v>
      </c>
      <c r="C43" s="24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_xlfn.IFNA( INDEX(LabID[ID], MATCH( INDEX(LaboratoriosMaterias[Laboratorio], MATCH(tDatosMaestros[[#This Row],[ASIGNATURA]],LaboratoriosMaterias[Materia],0)), LabID[Laboratorio],0)), "")</f>
        <v>LF</v>
      </c>
      <c r="M43" t="str">
        <f>_xlfn.IFNA( INDEX(LabID[ID], MATCH( INDEX(LaboratoriosMaterias[LaboratorioB], MATCH(tDatosMaestros[[#This Row],[ASIGNATURA]],LaboratoriosMaterias[Materia],0)), LabID[Laboratorio],0)),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24" t="str">
        <f>"Nombre maestro "&amp;tDatosMaestros[[#This Row],[NO_CONTROL]]</f>
        <v>Nombre maestro 1906</v>
      </c>
      <c r="C44" s="24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_xlfn.IFNA( INDEX(LabID[ID], MATCH( INDEX(LaboratoriosMaterias[Laboratorio], MATCH(tDatosMaestros[[#This Row],[ASIGNATURA]],LaboratoriosMaterias[Materia],0)), LabID[Laboratorio],0)), "")</f>
        <v>LF</v>
      </c>
      <c r="M44" t="str">
        <f>_xlfn.IFNA( INDEX(LabID[ID], MATCH( INDEX(LaboratoriosMaterias[LaboratorioB], MATCH(tDatosMaestros[[#This Row],[ASIGNATURA]],LaboratoriosMaterias[Materia],0)), LabID[Laboratorio],0)),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24" t="str">
        <f>"Nombre maestro "&amp;tDatosMaestros[[#This Row],[NO_CONTROL]]</f>
        <v>Nombre maestro 1906</v>
      </c>
      <c r="C45" s="24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_xlfn.IFNA( INDEX(LabID[ID], MATCH( INDEX(LaboratoriosMaterias[Laboratorio], MATCH(tDatosMaestros[[#This Row],[ASIGNATURA]],LaboratoriosMaterias[Materia],0)), LabID[Laboratorio],0)), "")</f>
        <v>LF</v>
      </c>
      <c r="M45" t="str">
        <f>_xlfn.IFNA( INDEX(LabID[ID], MATCH( INDEX(LaboratoriosMaterias[LaboratorioB], MATCH(tDatosMaestros[[#This Row],[ASIGNATURA]],LaboratoriosMaterias[Materia],0)), LabID[Laboratorio],0)),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24" t="str">
        <f>"Nombre maestro "&amp;tDatosMaestros[[#This Row],[NO_CONTROL]]</f>
        <v>Nombre maestro 4318</v>
      </c>
      <c r="C46" s="24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_xlfn.IFNA( INDEX(LabID[ID], MATCH( INDEX(LaboratoriosMaterias[Laboratorio], MATCH(tDatosMaestros[[#This Row],[ASIGNATURA]],LaboratoriosMaterias[Materia],0)), LabID[Laboratorio],0)), "")</f>
        <v>LF</v>
      </c>
      <c r="M46" t="str">
        <f>_xlfn.IFNA( INDEX(LabID[ID], MATCH( INDEX(LaboratoriosMaterias[LaboratorioB], MATCH(tDatosMaestros[[#This Row],[ASIGNATURA]],LaboratoriosMaterias[Materia],0)), LabID[Laboratorio],0)),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24" t="str">
        <f>"Nombre maestro "&amp;tDatosMaestros[[#This Row],[NO_CONTROL]]</f>
        <v>Nombre maestro 4318</v>
      </c>
      <c r="C47" s="24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_xlfn.IFNA( INDEX(LabID[ID], MATCH( INDEX(LaboratoriosMaterias[Laboratorio], MATCH(tDatosMaestros[[#This Row],[ASIGNATURA]],LaboratoriosMaterias[Materia],0)), LabID[Laboratorio],0)), "")</f>
        <v>LF</v>
      </c>
      <c r="M47" t="str">
        <f>_xlfn.IFNA( INDEX(LabID[ID], MATCH( INDEX(LaboratoriosMaterias[LaboratorioB], MATCH(tDatosMaestros[[#This Row],[ASIGNATURA]],LaboratoriosMaterias[Materia],0)), LabID[Laboratorio],0)),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25" t="str">
        <f>"Nombre maestro "&amp;tDatosMaestros[[#This Row],[NO_CONTROL]]</f>
        <v>Nombre maestro 1260</v>
      </c>
      <c r="C48" s="25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_xlfn.IFNA( INDEX(LabID[ID], MATCH( INDEX(LaboratoriosMaterias[Laboratorio], MATCH(tDatosMaestros[[#This Row],[ASIGNATURA]],LaboratoriosMaterias[Materia],0)), LabID[Laboratorio],0)), "")</f>
        <v>LB</v>
      </c>
      <c r="M48" t="str">
        <f>_xlfn.IFNA( INDEX(LabID[ID], MATCH( INDEX(LaboratoriosMaterias[LaboratorioB], MATCH(tDatosMaestros[[#This Row],[ASIGNATURA]],LaboratoriosMaterias[Materia],0)), LabID[Laboratorio],0)),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25" t="str">
        <f>"Nombre maestro "&amp;tDatosMaestros[[#This Row],[NO_CONTROL]]</f>
        <v>Nombre maestro 1260</v>
      </c>
      <c r="C49" s="25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_xlfn.IFNA( INDEX(LabID[ID], MATCH( INDEX(LaboratoriosMaterias[Laboratorio], MATCH(tDatosMaestros[[#This Row],[ASIGNATURA]],LaboratoriosMaterias[Materia],0)), LabID[Laboratorio],0)), "")</f>
        <v>LB</v>
      </c>
      <c r="M49" t="str">
        <f>_xlfn.IFNA( INDEX(LabID[ID], MATCH( INDEX(LaboratoriosMaterias[LaboratorioB], MATCH(tDatosMaestros[[#This Row],[ASIGNATURA]],LaboratoriosMaterias[Materia],0)), LabID[Laboratorio],0)),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24" t="str">
        <f>"Nombre maestro "&amp;tDatosMaestros[[#This Row],[NO_CONTROL]]</f>
        <v>Nombre maestro 3686</v>
      </c>
      <c r="C50" s="24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_xlfn.IFNA( INDEX(LabID[ID], MATCH( INDEX(LaboratoriosMaterias[Laboratorio], MATCH(tDatosMaestros[[#This Row],[ASIGNATURA]],LaboratoriosMaterias[Materia],0)), LabID[Laboratorio],0)), "")</f>
        <v>LB</v>
      </c>
      <c r="M50" t="str">
        <f>_xlfn.IFNA( INDEX(LabID[ID], MATCH( INDEX(LaboratoriosMaterias[LaboratorioB], MATCH(tDatosMaestros[[#This Row],[ASIGNATURA]],LaboratoriosMaterias[Materia],0)), LabID[Laboratorio],0)),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24" t="str">
        <f>"Nombre maestro "&amp;tDatosMaestros[[#This Row],[NO_CONTROL]]</f>
        <v>Nombre maestro 4318</v>
      </c>
      <c r="C51" s="24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_xlfn.IFNA( INDEX(LabID[ID], MATCH( INDEX(LaboratoriosMaterias[Laboratorio], MATCH(tDatosMaestros[[#This Row],[ASIGNATURA]],LaboratoriosMaterias[Materia],0)), LabID[Laboratorio],0)), "")</f>
        <v>LB</v>
      </c>
      <c r="M51" t="str">
        <f>_xlfn.IFNA( INDEX(LabID[ID], MATCH( INDEX(LaboratoriosMaterias[LaboratorioB], MATCH(tDatosMaestros[[#This Row],[ASIGNATURA]],LaboratoriosMaterias[Materia],0)), LabID[Laboratorio],0)), "")</f>
        <v/>
      </c>
      <c r="N51">
        <v>0</v>
      </c>
      <c r="O51">
        <v>10</v>
      </c>
    </row>
    <row r="52" spans="1:15" x14ac:dyDescent="0.25">
      <c r="A52" s="27">
        <v>1017</v>
      </c>
      <c r="B52" s="28" t="str">
        <f>"Nombre maestro "&amp;tDatosMaestros[[#This Row],[NO_CONTROL]]</f>
        <v>Nombre maestro 1017</v>
      </c>
      <c r="C52" s="28" t="s">
        <v>117</v>
      </c>
      <c r="D52" s="27">
        <v>8</v>
      </c>
      <c r="E52" s="27" t="s">
        <v>31</v>
      </c>
      <c r="F52" s="29" t="s">
        <v>9</v>
      </c>
      <c r="G52" s="29" t="s">
        <v>10</v>
      </c>
      <c r="H52" s="29" t="s">
        <v>118</v>
      </c>
      <c r="I52" s="29">
        <v>5</v>
      </c>
      <c r="J52" s="29">
        <v>3</v>
      </c>
      <c r="K52">
        <f>IF(tDatosMaestros[[#This Row],[TIPO PROFESOR]]="HRS", 3,2)</f>
        <v>3</v>
      </c>
      <c r="L52" t="str">
        <f>_xlfn.IFNA( INDEX(LabID[ID], MATCH( INDEX(LaboratoriosMaterias[Laboratorio], MATCH(tDatosMaestros[[#This Row],[ASIGNATURA]],LaboratoriosMaterias[Materia],0)), LabID[Laboratorio],0)), "")</f>
        <v>TE</v>
      </c>
      <c r="M52" t="str">
        <f>_xlfn.IFNA( INDEX(LabID[ID], MATCH( INDEX(LaboratoriosMaterias[LaboratorioB], MATCH(tDatosMaestros[[#This Row],[ASIGNATURA]],LaboratoriosMaterias[Materia],0)), LabID[Laboratorio],0)),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24" t="str">
        <f>"Nombre maestro "&amp;tDatosMaestros[[#This Row],[NO_CONTROL]]</f>
        <v>Nombre maestro 1017</v>
      </c>
      <c r="C53" s="24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_xlfn.IFNA( INDEX(LabID[ID], MATCH( INDEX(LaboratoriosMaterias[Laboratorio], MATCH(tDatosMaestros[[#This Row],[ASIGNATURA]],LaboratoriosMaterias[Materia],0)), LabID[Laboratorio],0)), "")</f>
        <v>TE</v>
      </c>
      <c r="M53" t="str">
        <f>_xlfn.IFNA( INDEX(LabID[ID], MATCH( INDEX(LaboratoriosMaterias[LaboratorioB], MATCH(tDatosMaestros[[#This Row],[ASIGNATURA]],LaboratoriosMaterias[Materia],0)), LabID[Laboratorio],0)), "")</f>
        <v/>
      </c>
      <c r="N53">
        <v>0</v>
      </c>
      <c r="O53">
        <v>9</v>
      </c>
    </row>
    <row r="54" spans="1:15" x14ac:dyDescent="0.25">
      <c r="A54" s="27">
        <v>1017</v>
      </c>
      <c r="B54" s="28" t="str">
        <f>"Nombre maestro "&amp;tDatosMaestros[[#This Row],[NO_CONTROL]]</f>
        <v>Nombre maestro 1017</v>
      </c>
      <c r="C54" s="28" t="s">
        <v>54</v>
      </c>
      <c r="D54" s="27">
        <v>8</v>
      </c>
      <c r="E54" s="27" t="s">
        <v>22</v>
      </c>
      <c r="F54" s="29" t="s">
        <v>9</v>
      </c>
      <c r="G54" s="29" t="s">
        <v>10</v>
      </c>
      <c r="H54" s="29" t="s">
        <v>120</v>
      </c>
      <c r="I54" s="29">
        <v>5</v>
      </c>
      <c r="J54" s="29">
        <v>3</v>
      </c>
      <c r="K54">
        <f>IF(tDatosMaestros[[#This Row],[TIPO PROFESOR]]="HRS", 3,2)</f>
        <v>3</v>
      </c>
      <c r="L54" t="str">
        <f>_xlfn.IFNA( INDEX(LabID[ID], MATCH( INDEX(LaboratoriosMaterias[Laboratorio], MATCH(tDatosMaestros[[#This Row],[ASIGNATURA]],LaboratoriosMaterias[Materia],0)), LabID[Laboratorio],0)), "")</f>
        <v>TE</v>
      </c>
      <c r="M54" t="str">
        <f>_xlfn.IFNA( INDEX(LabID[ID], MATCH( INDEX(LaboratoriosMaterias[LaboratorioB], MATCH(tDatosMaestros[[#This Row],[ASIGNATURA]],LaboratoriosMaterias[Materia],0)), LabID[Laboratorio],0)),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24" t="str">
        <f>"Nombre maestro "&amp;tDatosMaestros[[#This Row],[NO_CONTROL]]</f>
        <v>Nombre maestro 1230</v>
      </c>
      <c r="C55" s="24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_xlfn.IFNA( INDEX(LabID[ID], MATCH( INDEX(LaboratoriosMaterias[Laboratorio], MATCH(tDatosMaestros[[#This Row],[ASIGNATURA]],LaboratoriosMaterias[Materia],0)), LabID[Laboratorio],0)), "")</f>
        <v>TE</v>
      </c>
      <c r="M55" t="str">
        <f>_xlfn.IFNA( INDEX(LabID[ID], MATCH( INDEX(LaboratoriosMaterias[LaboratorioB], MATCH(tDatosMaestros[[#This Row],[ASIGNATURA]],LaboratoriosMaterias[Materia],0)), LabID[Laboratorio],0)),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25" t="str">
        <f>"Nombre maestro "&amp;tDatosMaestros[[#This Row],[NO_CONTROL]]</f>
        <v>Nombre maestro 76</v>
      </c>
      <c r="C56" s="25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_xlfn.IFNA( INDEX(LabID[ID], MATCH( INDEX(LaboratoriosMaterias[Laboratorio], MATCH(tDatosMaestros[[#This Row],[ASIGNATURA]],LaboratoriosMaterias[Materia],0)), LabID[Laboratorio],0)), "")</f>
        <v/>
      </c>
      <c r="M56" t="str">
        <f>_xlfn.IFNA( INDEX(LabID[ID], MATCH( INDEX(LaboratoriosMaterias[LaboratorioB], MATCH(tDatosMaestros[[#This Row],[ASIGNATURA]],LaboratoriosMaterias[Materia],0)), LabID[Laboratorio],0)),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25" t="str">
        <f>"Nombre maestro "&amp;tDatosMaestros[[#This Row],[NO_CONTROL]]</f>
        <v>Nombre maestro 76</v>
      </c>
      <c r="C57" s="25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_xlfn.IFNA( INDEX(LabID[ID], MATCH( INDEX(LaboratoriosMaterias[Laboratorio], MATCH(tDatosMaestros[[#This Row],[ASIGNATURA]],LaboratoriosMaterias[Materia],0)), LabID[Laboratorio],0)), "")</f>
        <v/>
      </c>
      <c r="M57" t="str">
        <f>_xlfn.IFNA( INDEX(LabID[ID], MATCH( INDEX(LaboratoriosMaterias[LaboratorioB], MATCH(tDatosMaestros[[#This Row],[ASIGNATURA]],LaboratoriosMaterias[Materia],0)), LabID[Laboratorio],0)),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24" t="str">
        <f>"Nombre maestro "&amp;tDatosMaestros[[#This Row],[NO_CONTROL]]</f>
        <v>Nombre maestro 347</v>
      </c>
      <c r="C58" s="24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_xlfn.IFNA( INDEX(LabID[ID], MATCH( INDEX(LaboratoriosMaterias[Laboratorio], MATCH(tDatosMaestros[[#This Row],[ASIGNATURA]],LaboratoriosMaterias[Materia],0)), LabID[Laboratorio],0)), "")</f>
        <v/>
      </c>
      <c r="M58" t="str">
        <f>_xlfn.IFNA( INDEX(LabID[ID], MATCH( INDEX(LaboratoriosMaterias[LaboratorioB], MATCH(tDatosMaestros[[#This Row],[ASIGNATURA]],LaboratoriosMaterias[Materia],0)), LabID[Laboratorio],0)),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24" t="str">
        <f>"Nombre maestro "&amp;tDatosMaestros[[#This Row],[NO_CONTROL]]</f>
        <v>Nombre maestro 347</v>
      </c>
      <c r="C59" s="24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_xlfn.IFNA( INDEX(LabID[ID], MATCH( INDEX(LaboratoriosMaterias[Laboratorio], MATCH(tDatosMaestros[[#This Row],[ASIGNATURA]],LaboratoriosMaterias[Materia],0)), LabID[Laboratorio],0)), "")</f>
        <v/>
      </c>
      <c r="M59" t="str">
        <f>_xlfn.IFNA( INDEX(LabID[ID], MATCH( INDEX(LaboratoriosMaterias[LaboratorioB], MATCH(tDatosMaestros[[#This Row],[ASIGNATURA]],LaboratoriosMaterias[Materia],0)), LabID[Laboratorio],0)),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24" t="str">
        <f>"Nombre maestro "&amp;tDatosMaestros[[#This Row],[NO_CONTROL]]</f>
        <v>Nombre maestro 347</v>
      </c>
      <c r="C60" s="24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_xlfn.IFNA( INDEX(LabID[ID], MATCH( INDEX(LaboratoriosMaterias[Laboratorio], MATCH(tDatosMaestros[[#This Row],[ASIGNATURA]],LaboratoriosMaterias[Materia],0)), LabID[Laboratorio],0)), "")</f>
        <v/>
      </c>
      <c r="M60" t="str">
        <f>_xlfn.IFNA( INDEX(LabID[ID], MATCH( INDEX(LaboratoriosMaterias[LaboratorioB], MATCH(tDatosMaestros[[#This Row],[ASIGNATURA]],LaboratoriosMaterias[Materia],0)), LabID[Laboratorio],0)),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24" t="str">
        <f>"Nombre maestro "&amp;tDatosMaestros[[#This Row],[NO_CONTROL]]</f>
        <v>Nombre maestro 347</v>
      </c>
      <c r="C61" s="24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_xlfn.IFNA( INDEX(LabID[ID], MATCH( INDEX(LaboratoriosMaterias[Laboratorio], MATCH(tDatosMaestros[[#This Row],[ASIGNATURA]],LaboratoriosMaterias[Materia],0)), LabID[Laboratorio],0)), "")</f>
        <v/>
      </c>
      <c r="M61" t="str">
        <f>_xlfn.IFNA( INDEX(LabID[ID], MATCH( INDEX(LaboratoriosMaterias[LaboratorioB], MATCH(tDatosMaestros[[#This Row],[ASIGNATURA]],LaboratoriosMaterias[Materia],0)), LabID[Laboratorio],0)),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24" t="str">
        <f>"Nombre maestro "&amp;tDatosMaestros[[#This Row],[NO_CONTROL]]</f>
        <v>Nombre maestro 439</v>
      </c>
      <c r="C62" s="24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_xlfn.IFNA( INDEX(LabID[ID], MATCH( INDEX(LaboratoriosMaterias[Laboratorio], MATCH(tDatosMaestros[[#This Row],[ASIGNATURA]],LaboratoriosMaterias[Materia],0)), LabID[Laboratorio],0)), "")</f>
        <v/>
      </c>
      <c r="M62" t="str">
        <f>_xlfn.IFNA( INDEX(LabID[ID], MATCH( INDEX(LaboratoriosMaterias[LaboratorioB], MATCH(tDatosMaestros[[#This Row],[ASIGNATURA]],LaboratoriosMaterias[Materia],0)), LabID[Laboratorio],0)),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24" t="str">
        <f>"Nombre maestro "&amp;tDatosMaestros[[#This Row],[NO_CONTROL]]</f>
        <v>Nombre maestro 1230</v>
      </c>
      <c r="C63" s="24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_xlfn.IFNA( INDEX(LabID[ID], MATCH( INDEX(LaboratoriosMaterias[Laboratorio], MATCH(tDatosMaestros[[#This Row],[ASIGNATURA]],LaboratoriosMaterias[Materia],0)), LabID[Laboratorio],0)), "")</f>
        <v/>
      </c>
      <c r="M63" t="str">
        <f>_xlfn.IFNA( INDEX(LabID[ID], MATCH( INDEX(LaboratoriosMaterias[LaboratorioB], MATCH(tDatosMaestros[[#This Row],[ASIGNATURA]],LaboratoriosMaterias[Materia],0)), LabID[Laboratorio],0)),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24" t="str">
        <f>"Nombre maestro "&amp;tDatosMaestros[[#This Row],[NO_CONTROL]]</f>
        <v>Nombre maestro 1230</v>
      </c>
      <c r="C64" s="24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_xlfn.IFNA( INDEX(LabID[ID], MATCH( INDEX(LaboratoriosMaterias[Laboratorio], MATCH(tDatosMaestros[[#This Row],[ASIGNATURA]],LaboratoriosMaterias[Materia],0)), LabID[Laboratorio],0)), "")</f>
        <v/>
      </c>
      <c r="M64" t="str">
        <f>_xlfn.IFNA( INDEX(LabID[ID], MATCH( INDEX(LaboratoriosMaterias[LaboratorioB], MATCH(tDatosMaestros[[#This Row],[ASIGNATURA]],LaboratoriosMaterias[Materia],0)), LabID[Laboratorio],0)),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24" t="str">
        <f>"Nombre maestro "&amp;tDatosMaestros[[#This Row],[NO_CONTROL]]</f>
        <v>Nombre maestro 1230</v>
      </c>
      <c r="C65" s="24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_xlfn.IFNA( INDEX(LabID[ID], MATCH( INDEX(LaboratoriosMaterias[Laboratorio], MATCH(tDatosMaestros[[#This Row],[ASIGNATURA]],LaboratoriosMaterias[Materia],0)), LabID[Laboratorio],0)), "")</f>
        <v/>
      </c>
      <c r="M65" t="str">
        <f>_xlfn.IFNA( INDEX(LabID[ID], MATCH( INDEX(LaboratoriosMaterias[LaboratorioB], MATCH(tDatosMaestros[[#This Row],[ASIGNATURA]],LaboratoriosMaterias[Materia],0)), LabID[Laboratorio],0)),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24" t="str">
        <f>"Nombre maestro "&amp;tDatosMaestros[[#This Row],[NO_CONTROL]]</f>
        <v>Nombre maestro 1230</v>
      </c>
      <c r="C66" s="24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_xlfn.IFNA( INDEX(LabID[ID], MATCH( INDEX(LaboratoriosMaterias[Laboratorio], MATCH(tDatosMaestros[[#This Row],[ASIGNATURA]],LaboratoriosMaterias[Materia],0)), LabID[Laboratorio],0)), "")</f>
        <v/>
      </c>
      <c r="M66" t="str">
        <f>_xlfn.IFNA( INDEX(LabID[ID], MATCH( INDEX(LaboratoriosMaterias[LaboratorioB], MATCH(tDatosMaestros[[#This Row],[ASIGNATURA]],LaboratoriosMaterias[Materia],0)), LabID[Laboratorio],0)),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24" t="str">
        <f>"Nombre maestro "&amp;tDatosMaestros[[#This Row],[NO_CONTROL]]</f>
        <v>Nombre maestro 1374</v>
      </c>
      <c r="C67" s="24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_xlfn.IFNA( INDEX(LabID[ID], MATCH( INDEX(LaboratoriosMaterias[Laboratorio], MATCH(tDatosMaestros[[#This Row],[ASIGNATURA]],LaboratoriosMaterias[Materia],0)), LabID[Laboratorio],0)), "")</f>
        <v/>
      </c>
      <c r="M67" t="str">
        <f>_xlfn.IFNA( INDEX(LabID[ID], MATCH( INDEX(LaboratoriosMaterias[LaboratorioB], MATCH(tDatosMaestros[[#This Row],[ASIGNATURA]],LaboratoriosMaterias[Materia],0)), LabID[Laboratorio],0)),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24" t="str">
        <f>"Nombre maestro "&amp;tDatosMaestros[[#This Row],[NO_CONTROL]]</f>
        <v>Nombre maestro 1374</v>
      </c>
      <c r="C68" s="24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_xlfn.IFNA( INDEX(LabID[ID], MATCH( INDEX(LaboratoriosMaterias[Laboratorio], MATCH(tDatosMaestros[[#This Row],[ASIGNATURA]],LaboratoriosMaterias[Materia],0)), LabID[Laboratorio],0)), "")</f>
        <v/>
      </c>
      <c r="M68" t="str">
        <f>_xlfn.IFNA( INDEX(LabID[ID], MATCH( INDEX(LaboratoriosMaterias[LaboratorioB], MATCH(tDatosMaestros[[#This Row],[ASIGNATURA]],LaboratoriosMaterias[Materia],0)), LabID[Laboratorio],0)),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24" t="str">
        <f>"Nombre maestro "&amp;tDatosMaestros[[#This Row],[NO_CONTROL]]</f>
        <v>Nombre maestro 1906</v>
      </c>
      <c r="C69" s="24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_xlfn.IFNA( INDEX(LabID[ID], MATCH( INDEX(LaboratoriosMaterias[Laboratorio], MATCH(tDatosMaestros[[#This Row],[ASIGNATURA]],LaboratoriosMaterias[Materia],0)), LabID[Laboratorio],0)), "")</f>
        <v/>
      </c>
      <c r="M69" t="str">
        <f>_xlfn.IFNA( INDEX(LabID[ID], MATCH( INDEX(LaboratoriosMaterias[LaboratorioB], MATCH(tDatosMaestros[[#This Row],[ASIGNATURA]],LaboratoriosMaterias[Materia],0)), LabID[Laboratorio],0)),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24" t="str">
        <f>"Nombre maestro "&amp;tDatosMaestros[[#This Row],[NO_CONTROL]]</f>
        <v>Nombre maestro 1906</v>
      </c>
      <c r="C70" s="24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_xlfn.IFNA( INDEX(LabID[ID], MATCH( INDEX(LaboratoriosMaterias[Laboratorio], MATCH(tDatosMaestros[[#This Row],[ASIGNATURA]],LaboratoriosMaterias[Materia],0)), LabID[Laboratorio],0)), "")</f>
        <v/>
      </c>
      <c r="M70" t="str">
        <f>_xlfn.IFNA( INDEX(LabID[ID], MATCH( INDEX(LaboratoriosMaterias[LaboratorioB], MATCH(tDatosMaestros[[#This Row],[ASIGNATURA]],LaboratoriosMaterias[Materia],0)), LabID[Laboratorio],0)),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24" t="str">
        <f>"Nombre maestro "&amp;tDatosMaestros[[#This Row],[NO_CONTROL]]</f>
        <v>Nombre maestro 2593</v>
      </c>
      <c r="C71" s="24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_xlfn.IFNA( INDEX(LabID[ID], MATCH( INDEX(LaboratoriosMaterias[Laboratorio], MATCH(tDatosMaestros[[#This Row],[ASIGNATURA]],LaboratoriosMaterias[Materia],0)), LabID[Laboratorio],0)), "")</f>
        <v/>
      </c>
      <c r="M71" t="str">
        <f>_xlfn.IFNA( INDEX(LabID[ID], MATCH( INDEX(LaboratoriosMaterias[LaboratorioB], MATCH(tDatosMaestros[[#This Row],[ASIGNATURA]],LaboratoriosMaterias[Materia],0)), LabID[Laboratorio],0)),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24" t="str">
        <f>"Nombre maestro "&amp;tDatosMaestros[[#This Row],[NO_CONTROL]]</f>
        <v>Nombre maestro 2593</v>
      </c>
      <c r="C72" s="24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_xlfn.IFNA( INDEX(LabID[ID], MATCH( INDEX(LaboratoriosMaterias[Laboratorio], MATCH(tDatosMaestros[[#This Row],[ASIGNATURA]],LaboratoriosMaterias[Materia],0)), LabID[Laboratorio],0)), "")</f>
        <v/>
      </c>
      <c r="M72" t="str">
        <f>_xlfn.IFNA( INDEX(LabID[ID], MATCH( INDEX(LaboratoriosMaterias[LaboratorioB], MATCH(tDatosMaestros[[#This Row],[ASIGNATURA]],LaboratoriosMaterias[Materia],0)), LabID[Laboratorio],0)),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24" t="str">
        <f>"Nombre maestro "&amp;tDatosMaestros[[#This Row],[NO_CONTROL]]</f>
        <v>Nombre maestro 3686</v>
      </c>
      <c r="C73" s="24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_xlfn.IFNA( INDEX(LabID[ID], MATCH( INDEX(LaboratoriosMaterias[Laboratorio], MATCH(tDatosMaestros[[#This Row],[ASIGNATURA]],LaboratoriosMaterias[Materia],0)), LabID[Laboratorio],0)), "")</f>
        <v/>
      </c>
      <c r="M73" t="str">
        <f>_xlfn.IFNA( INDEX(LabID[ID], MATCH( INDEX(LaboratoriosMaterias[LaboratorioB], MATCH(tDatosMaestros[[#This Row],[ASIGNATURA]],LaboratoriosMaterias[Materia],0)), LabID[Laboratorio],0)),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24" t="str">
        <f>"Nombre maestro "&amp;tDatosMaestros[[#This Row],[NO_CONTROL]]</f>
        <v>Nombre maestro 3976</v>
      </c>
      <c r="C74" s="24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_xlfn.IFNA( INDEX(LabID[ID], MATCH( INDEX(LaboratoriosMaterias[Laboratorio], MATCH(tDatosMaestros[[#This Row],[ASIGNATURA]],LaboratoriosMaterias[Materia],0)), LabID[Laboratorio],0)), "")</f>
        <v/>
      </c>
      <c r="M74" t="str">
        <f>_xlfn.IFNA( INDEX(LabID[ID], MATCH( INDEX(LaboratoriosMaterias[LaboratorioB], MATCH(tDatosMaestros[[#This Row],[ASIGNATURA]],LaboratoriosMaterias[Materia],0)), LabID[Laboratorio],0)),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24" t="str">
        <f>"Nombre maestro "&amp;tDatosMaestros[[#This Row],[NO_CONTROL]]</f>
        <v>Nombre maestro 3976</v>
      </c>
      <c r="C75" s="24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_xlfn.IFNA( INDEX(LabID[ID], MATCH( INDEX(LaboratoriosMaterias[Laboratorio], MATCH(tDatosMaestros[[#This Row],[ASIGNATURA]],LaboratoriosMaterias[Materia],0)), LabID[Laboratorio],0)), "")</f>
        <v/>
      </c>
      <c r="M75" t="str">
        <f>_xlfn.IFNA( INDEX(LabID[ID], MATCH( INDEX(LaboratoriosMaterias[LaboratorioB], MATCH(tDatosMaestros[[#This Row],[ASIGNATURA]],LaboratoriosMaterias[Materia],0)), LabID[Laboratorio],0)),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24" t="str">
        <f>"Nombre maestro "&amp;tDatosMaestros[[#This Row],[NO_CONTROL]]</f>
        <v>Nombre maestro 3976</v>
      </c>
      <c r="C76" s="24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_xlfn.IFNA( INDEX(LabID[ID], MATCH( INDEX(LaboratoriosMaterias[Laboratorio], MATCH(tDatosMaestros[[#This Row],[ASIGNATURA]],LaboratoriosMaterias[Materia],0)), LabID[Laboratorio],0)), "")</f>
        <v/>
      </c>
      <c r="M76" t="str">
        <f>_xlfn.IFNA( INDEX(LabID[ID], MATCH( INDEX(LaboratoriosMaterias[LaboratorioB], MATCH(tDatosMaestros[[#This Row],[ASIGNATURA]],LaboratoriosMaterias[Materia],0)), LabID[Laboratorio],0)),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24" t="str">
        <f>"Nombre maestro "&amp;tDatosMaestros[[#This Row],[NO_CONTROL]]</f>
        <v>Nombre maestro 3976</v>
      </c>
      <c r="C77" s="24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_xlfn.IFNA( INDEX(LabID[ID], MATCH( INDEX(LaboratoriosMaterias[Laboratorio], MATCH(tDatosMaestros[[#This Row],[ASIGNATURA]],LaboratoriosMaterias[Materia],0)), LabID[Laboratorio],0)), "")</f>
        <v/>
      </c>
      <c r="M77" t="str">
        <f>_xlfn.IFNA( INDEX(LabID[ID], MATCH( INDEX(LaboratoriosMaterias[LaboratorioB], MATCH(tDatosMaestros[[#This Row],[ASIGNATURA]],LaboratoriosMaterias[Materia],0)), LabID[Laboratorio],0)), "")</f>
        <v/>
      </c>
      <c r="N77">
        <v>0</v>
      </c>
      <c r="O77">
        <v>0</v>
      </c>
    </row>
    <row r="78" spans="1:15" x14ac:dyDescent="0.25">
      <c r="A78" s="1">
        <v>3976</v>
      </c>
      <c r="B78" s="24" t="str">
        <f>"Nombre maestro "&amp;tDatosMaestros[[#This Row],[NO_CONTROL]]</f>
        <v>Nombre maestro 3976</v>
      </c>
      <c r="C78" s="24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_xlfn.IFNA( INDEX(LabID[ID], MATCH( INDEX(LaboratoriosMaterias[Laboratorio], MATCH(tDatosMaestros[[#This Row],[ASIGNATURA]],LaboratoriosMaterias[Materia],0)), LabID[Laboratorio],0)), "")</f>
        <v/>
      </c>
      <c r="M78" t="str">
        <f>_xlfn.IFNA( INDEX(LabID[ID], MATCH( INDEX(LaboratoriosMaterias[LaboratorioB], MATCH(tDatosMaestros[[#This Row],[ASIGNATURA]],LaboratoriosMaterias[Materia],0)), LabID[Laboratorio],0)),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24" t="str">
        <f>"Nombre maestro "&amp;tDatosMaestros[[#This Row],[NO_CONTROL]]</f>
        <v>Nombre maestro 3976</v>
      </c>
      <c r="C79" s="24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_xlfn.IFNA( INDEX(LabID[ID], MATCH( INDEX(LaboratoriosMaterias[Laboratorio], MATCH(tDatosMaestros[[#This Row],[ASIGNATURA]],LaboratoriosMaterias[Materia],0)), LabID[Laboratorio],0)), "")</f>
        <v/>
      </c>
      <c r="M79" t="str">
        <f>_xlfn.IFNA( INDEX(LabID[ID], MATCH( INDEX(LaboratoriosMaterias[LaboratorioB], MATCH(tDatosMaestros[[#This Row],[ASIGNATURA]],LaboratoriosMaterias[Materia],0)), LabID[Laboratorio],0)),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24" t="str">
        <f>"Nombre maestro "&amp;tDatosMaestros[[#This Row],[NO_CONTROL]]</f>
        <v>Nombre maestro 3976</v>
      </c>
      <c r="C80" s="24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_xlfn.IFNA( INDEX(LabID[ID], MATCH( INDEX(LaboratoriosMaterias[Laboratorio], MATCH(tDatosMaestros[[#This Row],[ASIGNATURA]],LaboratoriosMaterias[Materia],0)), LabID[Laboratorio],0)), "")</f>
        <v/>
      </c>
      <c r="M80" t="str">
        <f>_xlfn.IFNA( INDEX(LabID[ID], MATCH( INDEX(LaboratoriosMaterias[LaboratorioB], MATCH(tDatosMaestros[[#This Row],[ASIGNATURA]],LaboratoriosMaterias[Materia],0)), LabID[Laboratorio],0)),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24" t="str">
        <f>"Nombre maestro "&amp;tDatosMaestros[[#This Row],[NO_CONTROL]]</f>
        <v>Nombre maestro 3976</v>
      </c>
      <c r="C81" s="24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_xlfn.IFNA( INDEX(LabID[ID], MATCH( INDEX(LaboratoriosMaterias[Laboratorio], MATCH(tDatosMaestros[[#This Row],[ASIGNATURA]],LaboratoriosMaterias[Materia],0)), LabID[Laboratorio],0)), "")</f>
        <v/>
      </c>
      <c r="M81" t="str">
        <f>_xlfn.IFNA( INDEX(LabID[ID], MATCH( INDEX(LaboratoriosMaterias[LaboratorioB], MATCH(tDatosMaestros[[#This Row],[ASIGNATURA]],LaboratoriosMaterias[Materia],0)), LabID[Laboratorio],0)),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24" t="str">
        <f>"Nombre maestro "&amp;tDatosMaestros[[#This Row],[NO_CONTROL]]</f>
        <v>Nombre maestro 3976</v>
      </c>
      <c r="C82" s="24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_xlfn.IFNA( INDEX(LabID[ID], MATCH( INDEX(LaboratoriosMaterias[Laboratorio], MATCH(tDatosMaestros[[#This Row],[ASIGNATURA]],LaboratoriosMaterias[Materia],0)), LabID[Laboratorio],0)), "")</f>
        <v/>
      </c>
      <c r="M82" t="str">
        <f>_xlfn.IFNA( INDEX(LabID[ID], MATCH( INDEX(LaboratoriosMaterias[LaboratorioB], MATCH(tDatosMaestros[[#This Row],[ASIGNATURA]],LaboratoriosMaterias[Materia],0)), LabID[Laboratorio],0)), "")</f>
        <v/>
      </c>
      <c r="N82">
        <v>0</v>
      </c>
      <c r="O82">
        <v>0</v>
      </c>
    </row>
    <row r="83" spans="1:15" x14ac:dyDescent="0.25">
      <c r="A83" s="1">
        <v>3976</v>
      </c>
      <c r="B83" s="24" t="str">
        <f>"Nombre maestro "&amp;tDatosMaestros[[#This Row],[NO_CONTROL]]</f>
        <v>Nombre maestro 3976</v>
      </c>
      <c r="C83" s="24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_xlfn.IFNA( INDEX(LabID[ID], MATCH( INDEX(LaboratoriosMaterias[Laboratorio], MATCH(tDatosMaestros[[#This Row],[ASIGNATURA]],LaboratoriosMaterias[Materia],0)), LabID[Laboratorio],0)), "")</f>
        <v/>
      </c>
      <c r="M83" t="str">
        <f>_xlfn.IFNA( INDEX(LabID[ID], MATCH( INDEX(LaboratoriosMaterias[LaboratorioB], MATCH(tDatosMaestros[[#This Row],[ASIGNATURA]],LaboratoriosMaterias[Materia],0)), LabID[Laboratorio],0)),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25" t="str">
        <f>"Nombre maestro "&amp;tDatosMaestros[[#This Row],[NO_CONTROL]]</f>
        <v>Nombre maestro 4407</v>
      </c>
      <c r="C84" s="25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_xlfn.IFNA( INDEX(LabID[ID], MATCH( INDEX(LaboratoriosMaterias[Laboratorio], MATCH(tDatosMaestros[[#This Row],[ASIGNATURA]],LaboratoriosMaterias[Materia],0)), LabID[Laboratorio],0)), "")</f>
        <v/>
      </c>
      <c r="M84" t="str">
        <f>_xlfn.IFNA( INDEX(LabID[ID], MATCH( INDEX(LaboratoriosMaterias[LaboratorioB], MATCH(tDatosMaestros[[#This Row],[ASIGNATURA]],LaboratoriosMaterias[Materia],0)), LabID[Laboratorio],0)),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25" t="str">
        <f>"Nombre maestro "&amp;tDatosMaestros[[#This Row],[NO_CONTROL]]</f>
        <v>Nombre maestro 4407</v>
      </c>
      <c r="C85" s="25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_xlfn.IFNA( INDEX(LabID[ID], MATCH( INDEX(LaboratoriosMaterias[Laboratorio], MATCH(tDatosMaestros[[#This Row],[ASIGNATURA]],LaboratoriosMaterias[Materia],0)), LabID[Laboratorio],0)), "")</f>
        <v/>
      </c>
      <c r="M85" t="str">
        <f>_xlfn.IFNA( INDEX(LabID[ID], MATCH( INDEX(LaboratoriosMaterias[LaboratorioB], MATCH(tDatosMaestros[[#This Row],[ASIGNATURA]],LaboratoriosMaterias[Materia],0)), LabID[Laboratorio],0)),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25" t="str">
        <f>"Nombre maestro "&amp;tDatosMaestros[[#This Row],[NO_CONTROL]]</f>
        <v>Nombre maestro 4407</v>
      </c>
      <c r="C86" s="25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_xlfn.IFNA( INDEX(LabID[ID], MATCH( INDEX(LaboratoriosMaterias[Laboratorio], MATCH(tDatosMaestros[[#This Row],[ASIGNATURA]],LaboratoriosMaterias[Materia],0)), LabID[Laboratorio],0)), "")</f>
        <v/>
      </c>
      <c r="M86" t="str">
        <f>_xlfn.IFNA( INDEX(LabID[ID], MATCH( INDEX(LaboratoriosMaterias[LaboratorioB], MATCH(tDatosMaestros[[#This Row],[ASIGNATURA]],LaboratoriosMaterias[Materia],0)), LabID[Laboratorio],0)),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25" t="str">
        <f>"Nombre maestro "&amp;tDatosMaestros[[#This Row],[NO_CONTROL]]</f>
        <v>Nombre maestro 4407</v>
      </c>
      <c r="C87" s="25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_xlfn.IFNA( INDEX(LabID[ID], MATCH( INDEX(LaboratoriosMaterias[Laboratorio], MATCH(tDatosMaestros[[#This Row],[ASIGNATURA]],LaboratoriosMaterias[Materia],0)), LabID[Laboratorio],0)), "")</f>
        <v/>
      </c>
      <c r="M87" t="str">
        <f>_xlfn.IFNA( INDEX(LabID[ID], MATCH( INDEX(LaboratoriosMaterias[LaboratorioB], MATCH(tDatosMaestros[[#This Row],[ASIGNATURA]],LaboratoriosMaterias[Materia],0)), LabID[Laboratorio],0)),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24" t="str">
        <f>"Nombre maestro "&amp;tDatosMaestros[[#This Row],[NO_CONTROL]]</f>
        <v>Nombre maestro 4431</v>
      </c>
      <c r="C88" s="24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_xlfn.IFNA( INDEX(LabID[ID], MATCH( INDEX(LaboratoriosMaterias[Laboratorio], MATCH(tDatosMaestros[[#This Row],[ASIGNATURA]],LaboratoriosMaterias[Materia],0)), LabID[Laboratorio],0)), "")</f>
        <v/>
      </c>
      <c r="M88" t="str">
        <f>_xlfn.IFNA( INDEX(LabID[ID], MATCH( INDEX(LaboratoriosMaterias[LaboratorioB], MATCH(tDatosMaestros[[#This Row],[ASIGNATURA]],LaboratoriosMaterias[Materia],0)), LabID[Laboratorio],0)),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24" t="str">
        <f>"Nombre maestro "&amp;tDatosMaestros[[#This Row],[NO_CONTROL]]</f>
        <v>Nombre maestro 4431</v>
      </c>
      <c r="C89" s="24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_xlfn.IFNA( INDEX(LabID[ID], MATCH( INDEX(LaboratoriosMaterias[Laboratorio], MATCH(tDatosMaestros[[#This Row],[ASIGNATURA]],LaboratoriosMaterias[Materia],0)), LabID[Laboratorio],0)), "")</f>
        <v/>
      </c>
      <c r="M89" t="str">
        <f>_xlfn.IFNA( INDEX(LabID[ID], MATCH( INDEX(LaboratoriosMaterias[LaboratorioB], MATCH(tDatosMaestros[[#This Row],[ASIGNATURA]],LaboratoriosMaterias[Materia],0)), LabID[Laboratorio],0)),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24" t="str">
        <f>"Nombre maestro "&amp;tDatosMaestros[[#This Row],[NO_CONTROL]]</f>
        <v>Nombre maestro 4431</v>
      </c>
      <c r="C90" s="24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_xlfn.IFNA( INDEX(LabID[ID], MATCH( INDEX(LaboratoriosMaterias[Laboratorio], MATCH(tDatosMaestros[[#This Row],[ASIGNATURA]],LaboratoriosMaterias[Materia],0)), LabID[Laboratorio],0)), "")</f>
        <v/>
      </c>
      <c r="M90" t="str">
        <f>_xlfn.IFNA( INDEX(LabID[ID], MATCH( INDEX(LaboratoriosMaterias[LaboratorioB], MATCH(tDatosMaestros[[#This Row],[ASIGNATURA]],LaboratoriosMaterias[Materia],0)), LabID[Laboratorio],0)),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24" t="str">
        <f>"Nombre maestro "&amp;tDatosMaestros[[#This Row],[NO_CONTROL]]</f>
        <v>Nombre maestro 4431</v>
      </c>
      <c r="C91" s="24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_xlfn.IFNA( INDEX(LabID[ID], MATCH( INDEX(LaboratoriosMaterias[Laboratorio], MATCH(tDatosMaestros[[#This Row],[ASIGNATURA]],LaboratoriosMaterias[Materia],0)), LabID[Laboratorio],0)), "")</f>
        <v/>
      </c>
      <c r="M91" t="str">
        <f>_xlfn.IFNA( INDEX(LabID[ID], MATCH( INDEX(LaboratoriosMaterias[LaboratorioB], MATCH(tDatosMaestros[[#This Row],[ASIGNATURA]],LaboratoriosMaterias[Materia],0)), LabID[Laboratorio],0)),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24" t="str">
        <f>"Nombre maestro "&amp;tDatosMaestros[[#This Row],[NO_CONTROL]]</f>
        <v>Nombre maestro 4442</v>
      </c>
      <c r="C92" s="24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_xlfn.IFNA( INDEX(LabID[ID], MATCH( INDEX(LaboratoriosMaterias[Laboratorio], MATCH(tDatosMaestros[[#This Row],[ASIGNATURA]],LaboratoriosMaterias[Materia],0)), LabID[Laboratorio],0)), "")</f>
        <v/>
      </c>
      <c r="M92" t="str">
        <f>_xlfn.IFNA( INDEX(LabID[ID], MATCH( INDEX(LaboratoriosMaterias[LaboratorioB], MATCH(tDatosMaestros[[#This Row],[ASIGNATURA]],LaboratoriosMaterias[Materia],0)), LabID[Laboratorio],0)),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24" t="str">
        <f>"Nombre maestro "&amp;tDatosMaestros[[#This Row],[NO_CONTROL]]</f>
        <v>Nombre maestro 4732</v>
      </c>
      <c r="C93" s="24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_xlfn.IFNA( INDEX(LabID[ID], MATCH( INDEX(LaboratoriosMaterias[Laboratorio], MATCH(tDatosMaestros[[#This Row],[ASIGNATURA]],LaboratoriosMaterias[Materia],0)), LabID[Laboratorio],0)), "")</f>
        <v/>
      </c>
      <c r="M93" t="str">
        <f>_xlfn.IFNA( INDEX(LabID[ID], MATCH( INDEX(LaboratoriosMaterias[LaboratorioB], MATCH(tDatosMaestros[[#This Row],[ASIGNATURA]],LaboratoriosMaterias[Materia],0)), LabID[Laboratorio],0)),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24" t="str">
        <f>"Nombre maestro "&amp;tDatosMaestros[[#This Row],[NO_CONTROL]]</f>
        <v>Nombre maestro 4732</v>
      </c>
      <c r="C94" s="24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_xlfn.IFNA( INDEX(LabID[ID], MATCH( INDEX(LaboratoriosMaterias[Laboratorio], MATCH(tDatosMaestros[[#This Row],[ASIGNATURA]],LaboratoriosMaterias[Materia],0)), LabID[Laboratorio],0)), "")</f>
        <v/>
      </c>
      <c r="M94" t="str">
        <f>_xlfn.IFNA( INDEX(LabID[ID], MATCH( INDEX(LaboratoriosMaterias[LaboratorioB], MATCH(tDatosMaestros[[#This Row],[ASIGNATURA]],LaboratoriosMaterias[Materia],0)), LabID[Laboratorio],0)),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24" t="str">
        <f>"Nombre maestro "&amp;tDatosMaestros[[#This Row],[NO_CONTROL]]</f>
        <v>Nombre maestro 4732</v>
      </c>
      <c r="C95" s="24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_xlfn.IFNA( INDEX(LabID[ID], MATCH( INDEX(LaboratoriosMaterias[Laboratorio], MATCH(tDatosMaestros[[#This Row],[ASIGNATURA]],LaboratoriosMaterias[Materia],0)), LabID[Laboratorio],0)), "")</f>
        <v/>
      </c>
      <c r="M95" t="str">
        <f>_xlfn.IFNA( INDEX(LabID[ID], MATCH( INDEX(LaboratoriosMaterias[LaboratorioB], MATCH(tDatosMaestros[[#This Row],[ASIGNATURA]],LaboratoriosMaterias[Materia],0)), LabID[Laboratorio],0)),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24" t="str">
        <f>"Nombre maestro "&amp;tDatosMaestros[[#This Row],[NO_CONTROL]]</f>
        <v>Nombre maestro 4802</v>
      </c>
      <c r="C96" s="24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_xlfn.IFNA( INDEX(LabID[ID], MATCH( INDEX(LaboratoriosMaterias[Laboratorio], MATCH(tDatosMaestros[[#This Row],[ASIGNATURA]],LaboratoriosMaterias[Materia],0)), LabID[Laboratorio],0)), "")</f>
        <v/>
      </c>
      <c r="M96" t="str">
        <f>_xlfn.IFNA( INDEX(LabID[ID], MATCH( INDEX(LaboratoriosMaterias[LaboratorioB], MATCH(tDatosMaestros[[#This Row],[ASIGNATURA]],LaboratoriosMaterias[Materia],0)), LabID[Laboratorio],0)),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24" t="str">
        <f>"Nombre maestro "&amp;tDatosMaestros[[#This Row],[NO_CONTROL]]</f>
        <v>Nombre maestro 4802</v>
      </c>
      <c r="C97" s="24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_xlfn.IFNA( INDEX(LabID[ID], MATCH( INDEX(LaboratoriosMaterias[Laboratorio], MATCH(tDatosMaestros[[#This Row],[ASIGNATURA]],LaboratoriosMaterias[Materia],0)), LabID[Laboratorio],0)), "")</f>
        <v/>
      </c>
      <c r="M97" t="str">
        <f>_xlfn.IFNA( INDEX(LabID[ID], MATCH( INDEX(LaboratoriosMaterias[LaboratorioB], MATCH(tDatosMaestros[[#This Row],[ASIGNATURA]],LaboratoriosMaterias[Materia],0)), LabID[Laboratorio],0)),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24" t="str">
        <f>"Nombre maestro "&amp;tDatosMaestros[[#This Row],[NO_CONTROL]]</f>
        <v>Nombre maestro 4802</v>
      </c>
      <c r="C98" s="24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_xlfn.IFNA( INDEX(LabID[ID], MATCH( INDEX(LaboratoriosMaterias[Laboratorio], MATCH(tDatosMaestros[[#This Row],[ASIGNATURA]],LaboratoriosMaterias[Materia],0)), LabID[Laboratorio],0)), "")</f>
        <v/>
      </c>
      <c r="M98" t="str">
        <f>_xlfn.IFNA( INDEX(LabID[ID], MATCH( INDEX(LaboratoriosMaterias[LaboratorioB], MATCH(tDatosMaestros[[#This Row],[ASIGNATURA]],LaboratoriosMaterias[Materia],0)), LabID[Laboratorio],0)),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24" t="str">
        <f>"Nombre maestro "&amp;tDatosMaestros[[#This Row],[NO_CONTROL]]</f>
        <v>Nombre maestro 4802</v>
      </c>
      <c r="C99" s="24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_xlfn.IFNA( INDEX(LabID[ID], MATCH( INDEX(LaboratoriosMaterias[Laboratorio], MATCH(tDatosMaestros[[#This Row],[ASIGNATURA]],LaboratoriosMaterias[Materia],0)), LabID[Laboratorio],0)), "")</f>
        <v/>
      </c>
      <c r="M99" t="str">
        <f>_xlfn.IFNA( INDEX(LabID[ID], MATCH( INDEX(LaboratoriosMaterias[LaboratorioB], MATCH(tDatosMaestros[[#This Row],[ASIGNATURA]],LaboratoriosMaterias[Materia],0)), LabID[Laboratorio],0)),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24" t="str">
        <f>"Nombre maestro "&amp;tDatosMaestros[[#This Row],[NO_CONTROL]]</f>
        <v>Nombre maestro 4879</v>
      </c>
      <c r="C100" s="24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_xlfn.IFNA( INDEX(LabID[ID], MATCH( INDEX(LaboratoriosMaterias[Laboratorio], MATCH(tDatosMaestros[[#This Row],[ASIGNATURA]],LaboratoriosMaterias[Materia],0)), LabID[Laboratorio],0)), "")</f>
        <v/>
      </c>
      <c r="M100" t="str">
        <f>_xlfn.IFNA( INDEX(LabID[ID], MATCH( INDEX(LaboratoriosMaterias[LaboratorioB], MATCH(tDatosMaestros[[#This Row],[ASIGNATURA]],LaboratoriosMaterias[Materia],0)), LabID[Laboratorio],0)),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24" t="str">
        <f>"Nombre maestro "&amp;tDatosMaestros[[#This Row],[NO_CONTROL]]</f>
        <v>Nombre maestro 4879</v>
      </c>
      <c r="C101" s="24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_xlfn.IFNA( INDEX(LabID[ID], MATCH( INDEX(LaboratoriosMaterias[Laboratorio], MATCH(tDatosMaestros[[#This Row],[ASIGNATURA]],LaboratoriosMaterias[Materia],0)), LabID[Laboratorio],0)), "")</f>
        <v/>
      </c>
      <c r="M101" t="str">
        <f>_xlfn.IFNA( INDEX(LabID[ID], MATCH( INDEX(LaboratoriosMaterias[LaboratorioB], MATCH(tDatosMaestros[[#This Row],[ASIGNATURA]],LaboratoriosMaterias[Materia],0)), LabID[Laboratorio],0)),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25" t="str">
        <f>"Nombre maestro "&amp;tDatosMaestros[[#This Row],[NO_CONTROL]]</f>
        <v>Nombre maestro 5155</v>
      </c>
      <c r="C102" s="25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_xlfn.IFNA( INDEX(LabID[ID], MATCH( INDEX(LaboratoriosMaterias[Laboratorio], MATCH(tDatosMaestros[[#This Row],[ASIGNATURA]],LaboratoriosMaterias[Materia],0)), LabID[Laboratorio],0)), "")</f>
        <v/>
      </c>
      <c r="M102" t="str">
        <f>_xlfn.IFNA( INDEX(LabID[ID], MATCH( INDEX(LaboratoriosMaterias[LaboratorioB], MATCH(tDatosMaestros[[#This Row],[ASIGNATURA]],LaboratoriosMaterias[Materia],0)), LabID[Laboratorio],0)),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25" t="str">
        <f>"Nombre maestro "&amp;tDatosMaestros[[#This Row],[NO_CONTROL]]</f>
        <v>Nombre maestro 5155</v>
      </c>
      <c r="C103" s="25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_xlfn.IFNA( INDEX(LabID[ID], MATCH( INDEX(LaboratoriosMaterias[Laboratorio], MATCH(tDatosMaestros[[#This Row],[ASIGNATURA]],LaboratoriosMaterias[Materia],0)), LabID[Laboratorio],0)), "")</f>
        <v/>
      </c>
      <c r="M103" t="str">
        <f>_xlfn.IFNA( INDEX(LabID[ID], MATCH( INDEX(LaboratoriosMaterias[LaboratorioB], MATCH(tDatosMaestros[[#This Row],[ASIGNATURA]],LaboratoriosMaterias[Materia],0)), LabID[Laboratorio],0)),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25" t="str">
        <f>"Nombre maestro "&amp;tDatosMaestros[[#This Row],[NO_CONTROL]]</f>
        <v>Nombre maestro 5155</v>
      </c>
      <c r="C104" s="25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_xlfn.IFNA( INDEX(LabID[ID], MATCH( INDEX(LaboratoriosMaterias[Laboratorio], MATCH(tDatosMaestros[[#This Row],[ASIGNATURA]],LaboratoriosMaterias[Materia],0)), LabID[Laboratorio],0)), "")</f>
        <v/>
      </c>
      <c r="M104" t="str">
        <f>_xlfn.IFNA( INDEX(LabID[ID], MATCH( INDEX(LaboratoriosMaterias[LaboratorioB], MATCH(tDatosMaestros[[#This Row],[ASIGNATURA]],LaboratoriosMaterias[Materia],0)), LabID[Laboratorio],0)),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24" t="str">
        <f>"Nombre maestro "&amp;tDatosMaestros[[#This Row],[NO_CONTROL]]</f>
        <v>Nombre maestro 5212</v>
      </c>
      <c r="C105" s="24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_xlfn.IFNA( INDEX(LabID[ID], MATCH( INDEX(LaboratoriosMaterias[Laboratorio], MATCH(tDatosMaestros[[#This Row],[ASIGNATURA]],LaboratoriosMaterias[Materia],0)), LabID[Laboratorio],0)), "")</f>
        <v/>
      </c>
      <c r="M105" t="str">
        <f>_xlfn.IFNA( INDEX(LabID[ID], MATCH( INDEX(LaboratoriosMaterias[LaboratorioB], MATCH(tDatosMaestros[[#This Row],[ASIGNATURA]],LaboratoriosMaterias[Materia],0)), LabID[Laboratorio],0)),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24" t="str">
        <f>"Nombre maestro "&amp;tDatosMaestros[[#This Row],[NO_CONTROL]]</f>
        <v>Nombre maestro 5212</v>
      </c>
      <c r="C106" s="24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_xlfn.IFNA( INDEX(LabID[ID], MATCH( INDEX(LaboratoriosMaterias[Laboratorio], MATCH(tDatosMaestros[[#This Row],[ASIGNATURA]],LaboratoriosMaterias[Materia],0)), LabID[Laboratorio],0)), "")</f>
        <v/>
      </c>
      <c r="M106" t="str">
        <f>_xlfn.IFNA( INDEX(LabID[ID], MATCH( INDEX(LaboratoriosMaterias[LaboratorioB], MATCH(tDatosMaestros[[#This Row],[ASIGNATURA]],LaboratoriosMaterias[Materia],0)), LabID[Laboratorio],0)),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24" t="str">
        <f>"Nombre maestro "&amp;tDatosMaestros[[#This Row],[NO_CONTROL]]</f>
        <v>Nombre maestro 5321</v>
      </c>
      <c r="C107" s="24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_xlfn.IFNA( INDEX(LabID[ID], MATCH( INDEX(LaboratoriosMaterias[Laboratorio], MATCH(tDatosMaestros[[#This Row],[ASIGNATURA]],LaboratoriosMaterias[Materia],0)), LabID[Laboratorio],0)), "")</f>
        <v/>
      </c>
      <c r="M107" t="str">
        <f>_xlfn.IFNA( INDEX(LabID[ID], MATCH( INDEX(LaboratoriosMaterias[LaboratorioB], MATCH(tDatosMaestros[[#This Row],[ASIGNATURA]],LaboratoriosMaterias[Materia],0)), LabID[Laboratorio],0)),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24" t="str">
        <f>"Nombre maestro "&amp;tDatosMaestros[[#This Row],[NO_CONTROL]]</f>
        <v>Nombre maestro 5321</v>
      </c>
      <c r="C108" s="24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_xlfn.IFNA( INDEX(LabID[ID], MATCH( INDEX(LaboratoriosMaterias[Laboratorio], MATCH(tDatosMaestros[[#This Row],[ASIGNATURA]],LaboratoriosMaterias[Materia],0)), LabID[Laboratorio],0)), "")</f>
        <v/>
      </c>
      <c r="M108" t="str">
        <f>_xlfn.IFNA( INDEX(LabID[ID], MATCH( INDEX(LaboratoriosMaterias[LaboratorioB], MATCH(tDatosMaestros[[#This Row],[ASIGNATURA]],LaboratoriosMaterias[Materia],0)), LabID[Laboratorio],0)),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24" t="str">
        <f>"Nombre maestro "&amp;tDatosMaestros[[#This Row],[NO_CONTROL]]</f>
        <v>Nombre maestro 5321</v>
      </c>
      <c r="C109" s="24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_xlfn.IFNA( INDEX(LabID[ID], MATCH( INDEX(LaboratoriosMaterias[Laboratorio], MATCH(tDatosMaestros[[#This Row],[ASIGNATURA]],LaboratoriosMaterias[Materia],0)), LabID[Laboratorio],0)), "")</f>
        <v/>
      </c>
      <c r="M109" t="str">
        <f>_xlfn.IFNA( INDEX(LabID[ID], MATCH( INDEX(LaboratoriosMaterias[LaboratorioB], MATCH(tDatosMaestros[[#This Row],[ASIGNATURA]],LaboratoriosMaterias[Materia],0)), LabID[Laboratorio],0)),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24" t="str">
        <f>"Nombre maestro "&amp;tDatosMaestros[[#This Row],[NO_CONTROL]]</f>
        <v>Nombre maestro 5321</v>
      </c>
      <c r="C110" s="24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_xlfn.IFNA( INDEX(LabID[ID], MATCH( INDEX(LaboratoriosMaterias[Laboratorio], MATCH(tDatosMaestros[[#This Row],[ASIGNATURA]],LaboratoriosMaterias[Materia],0)), LabID[Laboratorio],0)), "")</f>
        <v/>
      </c>
      <c r="M110" t="str">
        <f>_xlfn.IFNA( INDEX(LabID[ID], MATCH( INDEX(LaboratoriosMaterias[LaboratorioB], MATCH(tDatosMaestros[[#This Row],[ASIGNATURA]],LaboratoriosMaterias[Materia],0)), LabID[Laboratorio],0)),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24" t="str">
        <f>"Nombre maestro "&amp;tDatosMaestros[[#This Row],[NO_CONTROL]]</f>
        <v>Nombre maestro 5321</v>
      </c>
      <c r="C111" s="24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_xlfn.IFNA( INDEX(LabID[ID], MATCH( INDEX(LaboratoriosMaterias[Laboratorio], MATCH(tDatosMaestros[[#This Row],[ASIGNATURA]],LaboratoriosMaterias[Materia],0)), LabID[Laboratorio],0)), "")</f>
        <v/>
      </c>
      <c r="M111" t="str">
        <f>_xlfn.IFNA( INDEX(LabID[ID], MATCH( INDEX(LaboratoriosMaterias[LaboratorioB], MATCH(tDatosMaestros[[#This Row],[ASIGNATURA]],LaboratoriosMaterias[Materia],0)), LabID[Laboratorio],0)),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24" t="str">
        <f>"Nombre maestro "&amp;tDatosMaestros[[#This Row],[NO_CONTROL]]</f>
        <v>Nombre maestro 5321</v>
      </c>
      <c r="C112" s="24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_xlfn.IFNA( INDEX(LabID[ID], MATCH( INDEX(LaboratoriosMaterias[Laboratorio], MATCH(tDatosMaestros[[#This Row],[ASIGNATURA]],LaboratoriosMaterias[Materia],0)), LabID[Laboratorio],0)), "")</f>
        <v/>
      </c>
      <c r="M112" t="str">
        <f>_xlfn.IFNA( INDEX(LabID[ID], MATCH( INDEX(LaboratoriosMaterias[LaboratorioB], MATCH(tDatosMaestros[[#This Row],[ASIGNATURA]],LaboratoriosMaterias[Materia],0)), LabID[Laboratorio],0)),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24" t="str">
        <f>"Nombre maestro "&amp;tDatosMaestros[[#This Row],[NO_CONTROL]]</f>
        <v>Nombre maestro 5321</v>
      </c>
      <c r="C113" s="24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_xlfn.IFNA( INDEX(LabID[ID], MATCH( INDEX(LaboratoriosMaterias[Laboratorio], MATCH(tDatosMaestros[[#This Row],[ASIGNATURA]],LaboratoriosMaterias[Materia],0)), LabID[Laboratorio],0)), "")</f>
        <v/>
      </c>
      <c r="M113" t="str">
        <f>_xlfn.IFNA( INDEX(LabID[ID], MATCH( INDEX(LaboratoriosMaterias[LaboratorioB], MATCH(tDatosMaestros[[#This Row],[ASIGNATURA]],LaboratoriosMaterias[Materia],0)), LabID[Laboratorio],0)),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24" t="str">
        <f>"Nombre maestro "&amp;tDatosMaestros[[#This Row],[NO_CONTROL]]</f>
        <v>Nombre maestro 5321</v>
      </c>
      <c r="C114" s="24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_xlfn.IFNA( INDEX(LabID[ID], MATCH( INDEX(LaboratoriosMaterias[Laboratorio], MATCH(tDatosMaestros[[#This Row],[ASIGNATURA]],LaboratoriosMaterias[Materia],0)), LabID[Laboratorio],0)), "")</f>
        <v/>
      </c>
      <c r="M114" t="str">
        <f>_xlfn.IFNA( INDEX(LabID[ID], MATCH( INDEX(LaboratoriosMaterias[LaboratorioB], MATCH(tDatosMaestros[[#This Row],[ASIGNATURA]],LaboratoriosMaterias[Materia],0)), LabID[Laboratorio],0)),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24" t="str">
        <f>"Nombre maestro "&amp;tDatosMaestros[[#This Row],[NO_CONTROL]]</f>
        <v>Nombre maestro 5610</v>
      </c>
      <c r="C115" s="24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_xlfn.IFNA( INDEX(LabID[ID], MATCH( INDEX(LaboratoriosMaterias[Laboratorio], MATCH(tDatosMaestros[[#This Row],[ASIGNATURA]],LaboratoriosMaterias[Materia],0)), LabID[Laboratorio],0)), "")</f>
        <v/>
      </c>
      <c r="M115" t="str">
        <f>_xlfn.IFNA( INDEX(LabID[ID], MATCH( INDEX(LaboratoriosMaterias[LaboratorioB], MATCH(tDatosMaestros[[#This Row],[ASIGNATURA]],LaboratoriosMaterias[Materia],0)), LabID[Laboratorio],0)),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24" t="str">
        <f>"Nombre maestro "&amp;tDatosMaestros[[#This Row],[NO_CONTROL]]</f>
        <v>Nombre maestro 5610</v>
      </c>
      <c r="C116" s="24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_xlfn.IFNA( INDEX(LabID[ID], MATCH( INDEX(LaboratoriosMaterias[Laboratorio], MATCH(tDatosMaestros[[#This Row],[ASIGNATURA]],LaboratoriosMaterias[Materia],0)), LabID[Laboratorio],0)), "")</f>
        <v/>
      </c>
      <c r="M116" t="str">
        <f>_xlfn.IFNA( INDEX(LabID[ID], MATCH( INDEX(LaboratoriosMaterias[LaboratorioB], MATCH(tDatosMaestros[[#This Row],[ASIGNATURA]],LaboratoriosMaterias[Materia],0)), LabID[Laboratorio],0)),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24" t="str">
        <f>"Nombre maestro "&amp;tDatosMaestros[[#This Row],[NO_CONTROL]]</f>
        <v>Nombre maestro 5610</v>
      </c>
      <c r="C117" s="24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_xlfn.IFNA( INDEX(LabID[ID], MATCH( INDEX(LaboratoriosMaterias[Laboratorio], MATCH(tDatosMaestros[[#This Row],[ASIGNATURA]],LaboratoriosMaterias[Materia],0)), LabID[Laboratorio],0)), "")</f>
        <v/>
      </c>
      <c r="M117" t="str">
        <f>_xlfn.IFNA( INDEX(LabID[ID], MATCH( INDEX(LaboratoriosMaterias[LaboratorioB], MATCH(tDatosMaestros[[#This Row],[ASIGNATURA]],LaboratoriosMaterias[Materia],0)), LabID[Laboratorio],0)),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24" t="str">
        <f>"Nombre maestro "&amp;tDatosMaestros[[#This Row],[NO_CONTROL]]</f>
        <v>Nombre maestro 5625</v>
      </c>
      <c r="C118" s="24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_xlfn.IFNA( INDEX(LabID[ID], MATCH( INDEX(LaboratoriosMaterias[Laboratorio], MATCH(tDatosMaestros[[#This Row],[ASIGNATURA]],LaboratoriosMaterias[Materia],0)), LabID[Laboratorio],0)), "")</f>
        <v/>
      </c>
      <c r="M118" t="str">
        <f>_xlfn.IFNA( INDEX(LabID[ID], MATCH( INDEX(LaboratoriosMaterias[LaboratorioB], MATCH(tDatosMaestros[[#This Row],[ASIGNATURA]],LaboratoriosMaterias[Materia],0)), LabID[Laboratorio],0)),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24" t="str">
        <f>"Nombre maestro "&amp;tDatosMaestros[[#This Row],[NO_CONTROL]]</f>
        <v>Nombre maestro 5625</v>
      </c>
      <c r="C119" s="24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_xlfn.IFNA( INDEX(LabID[ID], MATCH( INDEX(LaboratoriosMaterias[Laboratorio], MATCH(tDatosMaestros[[#This Row],[ASIGNATURA]],LaboratoriosMaterias[Materia],0)), LabID[Laboratorio],0)), "")</f>
        <v/>
      </c>
      <c r="M119" t="str">
        <f>_xlfn.IFNA( INDEX(LabID[ID], MATCH( INDEX(LaboratoriosMaterias[LaboratorioB], MATCH(tDatosMaestros[[#This Row],[ASIGNATURA]],LaboratoriosMaterias[Materia],0)), LabID[Laboratorio],0)),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24" t="str">
        <f>"Nombre maestro "&amp;tDatosMaestros[[#This Row],[NO_CONTROL]]</f>
        <v>Nombre maestro 5625</v>
      </c>
      <c r="C120" s="24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_xlfn.IFNA( INDEX(LabID[ID], MATCH( INDEX(LaboratoriosMaterias[Laboratorio], MATCH(tDatosMaestros[[#This Row],[ASIGNATURA]],LaboratoriosMaterias[Materia],0)), LabID[Laboratorio],0)), "")</f>
        <v/>
      </c>
      <c r="M120" t="str">
        <f>_xlfn.IFNA( INDEX(LabID[ID], MATCH( INDEX(LaboratoriosMaterias[LaboratorioB], MATCH(tDatosMaestros[[#This Row],[ASIGNATURA]],LaboratoriosMaterias[Materia],0)), LabID[Laboratorio],0)),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24" t="str">
        <f>"Nombre maestro "&amp;tDatosMaestros[[#This Row],[NO_CONTROL]]</f>
        <v>Nombre maestro 5625</v>
      </c>
      <c r="C121" s="24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_xlfn.IFNA( INDEX(LabID[ID], MATCH( INDEX(LaboratoriosMaterias[Laboratorio], MATCH(tDatosMaestros[[#This Row],[ASIGNATURA]],LaboratoriosMaterias[Materia],0)), LabID[Laboratorio],0)), "")</f>
        <v/>
      </c>
      <c r="M121" t="str">
        <f>_xlfn.IFNA( INDEX(LabID[ID], MATCH( INDEX(LaboratoriosMaterias[LaboratorioB], MATCH(tDatosMaestros[[#This Row],[ASIGNATURA]],LaboratoriosMaterias[Materia],0)), LabID[Laboratorio],0)),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24" t="str">
        <f>"Nombre maestro "&amp;tDatosMaestros[[#This Row],[NO_CONTROL]]</f>
        <v>Nombre maestro 5625</v>
      </c>
      <c r="C122" s="24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_xlfn.IFNA( INDEX(LabID[ID], MATCH( INDEX(LaboratoriosMaterias[Laboratorio], MATCH(tDatosMaestros[[#This Row],[ASIGNATURA]],LaboratoriosMaterias[Materia],0)), LabID[Laboratorio],0)), "")</f>
        <v/>
      </c>
      <c r="M122" t="str">
        <f>_xlfn.IFNA( INDEX(LabID[ID], MATCH( INDEX(LaboratoriosMaterias[LaboratorioB], MATCH(tDatosMaestros[[#This Row],[ASIGNATURA]],LaboratoriosMaterias[Materia],0)), LabID[Laboratorio],0)),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24" t="str">
        <f>"Nombre maestro "&amp;tDatosMaestros[[#This Row],[NO_CONTROL]]</f>
        <v>Nombre maestro 5625</v>
      </c>
      <c r="C123" s="24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_xlfn.IFNA( INDEX(LabID[ID], MATCH( INDEX(LaboratoriosMaterias[Laboratorio], MATCH(tDatosMaestros[[#This Row],[ASIGNATURA]],LaboratoriosMaterias[Materia],0)), LabID[Laboratorio],0)), "")</f>
        <v/>
      </c>
      <c r="M123" t="str">
        <f>_xlfn.IFNA( INDEX(LabID[ID], MATCH( INDEX(LaboratoriosMaterias[LaboratorioB], MATCH(tDatosMaestros[[#This Row],[ASIGNATURA]],LaboratoriosMaterias[Materia],0)), LabID[Laboratorio],0)),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24" t="str">
        <f>"Nombre maestro "&amp;tDatosMaestros[[#This Row],[NO_CONTROL]]</f>
        <v>Nombre maestro 5691</v>
      </c>
      <c r="C124" s="24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_xlfn.IFNA( INDEX(LabID[ID], MATCH( INDEX(LaboratoriosMaterias[Laboratorio], MATCH(tDatosMaestros[[#This Row],[ASIGNATURA]],LaboratoriosMaterias[Materia],0)), LabID[Laboratorio],0)), "")</f>
        <v/>
      </c>
      <c r="M124" t="str">
        <f>_xlfn.IFNA( INDEX(LabID[ID], MATCH( INDEX(LaboratoriosMaterias[LaboratorioB], MATCH(tDatosMaestros[[#This Row],[ASIGNATURA]],LaboratoriosMaterias[Materia],0)), LabID[Laboratorio],0)),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24" t="str">
        <f>"Nombre maestro "&amp;tDatosMaestros[[#This Row],[NO_CONTROL]]</f>
        <v>Nombre maestro 5691</v>
      </c>
      <c r="C125" s="24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_xlfn.IFNA( INDEX(LabID[ID], MATCH( INDEX(LaboratoriosMaterias[Laboratorio], MATCH(tDatosMaestros[[#This Row],[ASIGNATURA]],LaboratoriosMaterias[Materia],0)), LabID[Laboratorio],0)), "")</f>
        <v/>
      </c>
      <c r="M125" t="str">
        <f>_xlfn.IFNA( INDEX(LabID[ID], MATCH( INDEX(LaboratoriosMaterias[LaboratorioB], MATCH(tDatosMaestros[[#This Row],[ASIGNATURA]],LaboratoriosMaterias[Materia],0)), LabID[Laboratorio],0)),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24" t="str">
        <f>"Nombre maestro "&amp;tDatosMaestros[[#This Row],[NO_CONTROL]]</f>
        <v>Nombre maestro 5691</v>
      </c>
      <c r="C126" s="24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_xlfn.IFNA( INDEX(LabID[ID], MATCH( INDEX(LaboratoriosMaterias[Laboratorio], MATCH(tDatosMaestros[[#This Row],[ASIGNATURA]],LaboratoriosMaterias[Materia],0)), LabID[Laboratorio],0)), "")</f>
        <v/>
      </c>
      <c r="M126" t="str">
        <f>_xlfn.IFNA( INDEX(LabID[ID], MATCH( INDEX(LaboratoriosMaterias[LaboratorioB], MATCH(tDatosMaestros[[#This Row],[ASIGNATURA]],LaboratoriosMaterias[Materia],0)), LabID[Laboratorio],0)),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24" t="str">
        <f>"Nombre maestro "&amp;tDatosMaestros[[#This Row],[NO_CONTROL]]</f>
        <v>Nombre maestro 6024</v>
      </c>
      <c r="C127" s="24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_xlfn.IFNA( INDEX(LabID[ID], MATCH( INDEX(LaboratoriosMaterias[Laboratorio], MATCH(tDatosMaestros[[#This Row],[ASIGNATURA]],LaboratoriosMaterias[Materia],0)), LabID[Laboratorio],0)), "")</f>
        <v/>
      </c>
      <c r="M127" t="str">
        <f>_xlfn.IFNA( INDEX(LabID[ID], MATCH( INDEX(LaboratoriosMaterias[LaboratorioB], MATCH(tDatosMaestros[[#This Row],[ASIGNATURA]],LaboratoriosMaterias[Materia],0)), LabID[Laboratorio],0)),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24" t="str">
        <f>"Nombre maestro "&amp;tDatosMaestros[[#This Row],[NO_CONTROL]]</f>
        <v>Nombre maestro 6024</v>
      </c>
      <c r="C128" s="24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_xlfn.IFNA( INDEX(LabID[ID], MATCH( INDEX(LaboratoriosMaterias[Laboratorio], MATCH(tDatosMaestros[[#This Row],[ASIGNATURA]],LaboratoriosMaterias[Materia],0)), LabID[Laboratorio],0)), "")</f>
        <v/>
      </c>
      <c r="M128" t="str">
        <f>_xlfn.IFNA( INDEX(LabID[ID], MATCH( INDEX(LaboratoriosMaterias[LaboratorioB], MATCH(tDatosMaestros[[#This Row],[ASIGNATURA]],LaboratoriosMaterias[Materia],0)), LabID[Laboratorio],0)),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24" t="str">
        <f>"Nombre maestro "&amp;tDatosMaestros[[#This Row],[NO_CONTROL]]</f>
        <v>Nombre maestro 6024</v>
      </c>
      <c r="C129" s="24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_xlfn.IFNA( INDEX(LabID[ID], MATCH( INDEX(LaboratoriosMaterias[Laboratorio], MATCH(tDatosMaestros[[#This Row],[ASIGNATURA]],LaboratoriosMaterias[Materia],0)), LabID[Laboratorio],0)), "")</f>
        <v/>
      </c>
      <c r="M129" t="str">
        <f>_xlfn.IFNA( INDEX(LabID[ID], MATCH( INDEX(LaboratoriosMaterias[LaboratorioB], MATCH(tDatosMaestros[[#This Row],[ASIGNATURA]],LaboratoriosMaterias[Materia],0)), LabID[Laboratorio],0)),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24" t="str">
        <f>"Nombre maestro "&amp;tDatosMaestros[[#This Row],[NO_CONTROL]]</f>
        <v>Nombre maestro 6024</v>
      </c>
      <c r="C130" s="24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_xlfn.IFNA( INDEX(LabID[ID], MATCH( INDEX(LaboratoriosMaterias[Laboratorio], MATCH(tDatosMaestros[[#This Row],[ASIGNATURA]],LaboratoriosMaterias[Materia],0)), LabID[Laboratorio],0)), "")</f>
        <v/>
      </c>
      <c r="M130" t="str">
        <f>_xlfn.IFNA( INDEX(LabID[ID], MATCH( INDEX(LaboratoriosMaterias[LaboratorioB], MATCH(tDatosMaestros[[#This Row],[ASIGNATURA]],LaboratoriosMaterias[Materia],0)), LabID[Laboratorio],0)),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24" t="str">
        <f>"Nombre maestro "&amp;tDatosMaestros[[#This Row],[NO_CONTROL]]</f>
        <v>Nombre maestro 6030</v>
      </c>
      <c r="C131" s="24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_xlfn.IFNA( INDEX(LabID[ID], MATCH( INDEX(LaboratoriosMaterias[Laboratorio], MATCH(tDatosMaestros[[#This Row],[ASIGNATURA]],LaboratoriosMaterias[Materia],0)), LabID[Laboratorio],0)), "")</f>
        <v/>
      </c>
      <c r="M131" t="str">
        <f>_xlfn.IFNA( INDEX(LabID[ID], MATCH( INDEX(LaboratoriosMaterias[LaboratorioB], MATCH(tDatosMaestros[[#This Row],[ASIGNATURA]],LaboratoriosMaterias[Materia],0)), LabID[Laboratorio],0)),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24" t="str">
        <f>"Nombre maestro "&amp;tDatosMaestros[[#This Row],[NO_CONTROL]]</f>
        <v>Nombre maestro 6030</v>
      </c>
      <c r="C132" s="24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_xlfn.IFNA( INDEX(LabID[ID], MATCH( INDEX(LaboratoriosMaterias[Laboratorio], MATCH(tDatosMaestros[[#This Row],[ASIGNATURA]],LaboratoriosMaterias[Materia],0)), LabID[Laboratorio],0)), "")</f>
        <v/>
      </c>
      <c r="M132" t="str">
        <f>_xlfn.IFNA( INDEX(LabID[ID], MATCH( INDEX(LaboratoriosMaterias[LaboratorioB], MATCH(tDatosMaestros[[#This Row],[ASIGNATURA]],LaboratoriosMaterias[Materia],0)), LabID[Laboratorio],0)),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24" t="str">
        <f>"Nombre maestro "&amp;tDatosMaestros[[#This Row],[NO_CONTROL]]</f>
        <v>Nombre maestro 6030</v>
      </c>
      <c r="C133" s="24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_xlfn.IFNA( INDEX(LabID[ID], MATCH( INDEX(LaboratoriosMaterias[Laboratorio], MATCH(tDatosMaestros[[#This Row],[ASIGNATURA]],LaboratoriosMaterias[Materia],0)), LabID[Laboratorio],0)), "")</f>
        <v/>
      </c>
      <c r="M133" t="str">
        <f>_xlfn.IFNA( INDEX(LabID[ID], MATCH( INDEX(LaboratoriosMaterias[LaboratorioB], MATCH(tDatosMaestros[[#This Row],[ASIGNATURA]],LaboratoriosMaterias[Materia],0)), LabID[Laboratorio],0)),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24" t="str">
        <f>"Nombre maestro "&amp;tDatosMaestros[[#This Row],[NO_CONTROL]]</f>
        <v>Nombre maestro 6030</v>
      </c>
      <c r="C134" s="25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_xlfn.IFNA( INDEX(LabID[ID], MATCH( INDEX(LaboratoriosMaterias[Laboratorio], MATCH(tDatosMaestros[[#This Row],[ASIGNATURA]],LaboratoriosMaterias[Materia],0)), LabID[Laboratorio],0)), "")</f>
        <v/>
      </c>
      <c r="M134" t="str">
        <f>_xlfn.IFNA( INDEX(LabID[ID], MATCH( INDEX(LaboratoriosMaterias[LaboratorioB], MATCH(tDatosMaestros[[#This Row],[ASIGNATURA]],LaboratoriosMaterias[Materia],0)), LabID[Laboratorio],0)),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24" t="str">
        <f>"Nombre maestro "&amp;tDatosMaestros[[#This Row],[NO_CONTROL]]</f>
        <v>Nombre maestro 6030</v>
      </c>
      <c r="C135" s="24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_xlfn.IFNA( INDEX(LabID[ID], MATCH( INDEX(LaboratoriosMaterias[Laboratorio], MATCH(tDatosMaestros[[#This Row],[ASIGNATURA]],LaboratoriosMaterias[Materia],0)), LabID[Laboratorio],0)), "")</f>
        <v/>
      </c>
      <c r="M135" t="str">
        <f>_xlfn.IFNA( INDEX(LabID[ID], MATCH( INDEX(LaboratoriosMaterias[LaboratorioB], MATCH(tDatosMaestros[[#This Row],[ASIGNATURA]],LaboratoriosMaterias[Materia],0)), LabID[Laboratorio],0)),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24" t="str">
        <f>"Nombre maestro "&amp;tDatosMaestros[[#This Row],[NO_CONTROL]]</f>
        <v>Nombre maestro 6130</v>
      </c>
      <c r="C136" s="24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_xlfn.IFNA( INDEX(LabID[ID], MATCH( INDEX(LaboratoriosMaterias[Laboratorio], MATCH(tDatosMaestros[[#This Row],[ASIGNATURA]],LaboratoriosMaterias[Materia],0)), LabID[Laboratorio],0)), "")</f>
        <v/>
      </c>
      <c r="M136" t="str">
        <f>_xlfn.IFNA( INDEX(LabID[ID], MATCH( INDEX(LaboratoriosMaterias[LaboratorioB], MATCH(tDatosMaestros[[#This Row],[ASIGNATURA]],LaboratoriosMaterias[Materia],0)), LabID[Laboratorio],0)),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24" t="str">
        <f>"Nombre maestro "&amp;tDatosMaestros[[#This Row],[NO_CONTROL]]</f>
        <v>Nombre maestro 6130</v>
      </c>
      <c r="C137" s="24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_xlfn.IFNA( INDEX(LabID[ID], MATCH( INDEX(LaboratoriosMaterias[Laboratorio], MATCH(tDatosMaestros[[#This Row],[ASIGNATURA]],LaboratoriosMaterias[Materia],0)), LabID[Laboratorio],0)), "")</f>
        <v/>
      </c>
      <c r="M137" t="str">
        <f>_xlfn.IFNA( INDEX(LabID[ID], MATCH( INDEX(LaboratoriosMaterias[LaboratorioB], MATCH(tDatosMaestros[[#This Row],[ASIGNATURA]],LaboratoriosMaterias[Materia],0)), LabID[Laboratorio],0)),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24" t="str">
        <f>"Nombre maestro "&amp;tDatosMaestros[[#This Row],[NO_CONTROL]]</f>
        <v>Nombre maestro 6130</v>
      </c>
      <c r="C138" s="24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_xlfn.IFNA( INDEX(LabID[ID], MATCH( INDEX(LaboratoriosMaterias[Laboratorio], MATCH(tDatosMaestros[[#This Row],[ASIGNATURA]],LaboratoriosMaterias[Materia],0)), LabID[Laboratorio],0)), "")</f>
        <v/>
      </c>
      <c r="M138" t="str">
        <f>_xlfn.IFNA( INDEX(LabID[ID], MATCH( INDEX(LaboratoriosMaterias[LaboratorioB], MATCH(tDatosMaestros[[#This Row],[ASIGNATURA]],LaboratoriosMaterias[Materia],0)), LabID[Laboratorio],0)),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24" t="str">
        <f>"Nombre maestro "&amp;tDatosMaestros[[#This Row],[NO_CONTROL]]</f>
        <v>Nombre maestro 6327</v>
      </c>
      <c r="C139" s="24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_xlfn.IFNA( INDEX(LabID[ID], MATCH( INDEX(LaboratoriosMaterias[Laboratorio], MATCH(tDatosMaestros[[#This Row],[ASIGNATURA]],LaboratoriosMaterias[Materia],0)), LabID[Laboratorio],0)), "")</f>
        <v/>
      </c>
      <c r="M139" t="str">
        <f>_xlfn.IFNA( INDEX(LabID[ID], MATCH( INDEX(LaboratoriosMaterias[LaboratorioB], MATCH(tDatosMaestros[[#This Row],[ASIGNATURA]],LaboratoriosMaterias[Materia],0)), LabID[Laboratorio],0)),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24" t="str">
        <f>"Nombre maestro "&amp;tDatosMaestros[[#This Row],[NO_CONTROL]]</f>
        <v>Nombre maestro 6327</v>
      </c>
      <c r="C140" s="24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_xlfn.IFNA( INDEX(LabID[ID], MATCH( INDEX(LaboratoriosMaterias[Laboratorio], MATCH(tDatosMaestros[[#This Row],[ASIGNATURA]],LaboratoriosMaterias[Materia],0)), LabID[Laboratorio],0)), "")</f>
        <v/>
      </c>
      <c r="M140" t="str">
        <f>_xlfn.IFNA( INDEX(LabID[ID], MATCH( INDEX(LaboratoriosMaterias[LaboratorioB], MATCH(tDatosMaestros[[#This Row],[ASIGNATURA]],LaboratoriosMaterias[Materia],0)), LabID[Laboratorio],0)),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24" t="str">
        <f>"Nombre maestro "&amp;tDatosMaestros[[#This Row],[NO_CONTROL]]</f>
        <v>Nombre maestro 6327</v>
      </c>
      <c r="C141" s="24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_xlfn.IFNA( INDEX(LabID[ID], MATCH( INDEX(LaboratoriosMaterias[Laboratorio], MATCH(tDatosMaestros[[#This Row],[ASIGNATURA]],LaboratoriosMaterias[Materia],0)), LabID[Laboratorio],0)), "")</f>
        <v/>
      </c>
      <c r="M141" t="str">
        <f>_xlfn.IFNA( INDEX(LabID[ID], MATCH( INDEX(LaboratoriosMaterias[LaboratorioB], MATCH(tDatosMaestros[[#This Row],[ASIGNATURA]],LaboratoriosMaterias[Materia],0)), LabID[Laboratorio],0)),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24" t="str">
        <f>"Nombre maestro "&amp;tDatosMaestros[[#This Row],[NO_CONTROL]]</f>
        <v>Nombre maestro 6327</v>
      </c>
      <c r="C142" s="24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_xlfn.IFNA( INDEX(LabID[ID], MATCH( INDEX(LaboratoriosMaterias[Laboratorio], MATCH(tDatosMaestros[[#This Row],[ASIGNATURA]],LaboratoriosMaterias[Materia],0)), LabID[Laboratorio],0)), "")</f>
        <v/>
      </c>
      <c r="M142" t="str">
        <f>_xlfn.IFNA( INDEX(LabID[ID], MATCH( INDEX(LaboratoriosMaterias[LaboratorioB], MATCH(tDatosMaestros[[#This Row],[ASIGNATURA]],LaboratoriosMaterias[Materia],0)), LabID[Laboratorio],0)),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24" t="str">
        <f>"Nombre maestro "&amp;tDatosMaestros[[#This Row],[NO_CONTROL]]</f>
        <v>Nombre maestro 6327</v>
      </c>
      <c r="C143" s="24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_xlfn.IFNA( INDEX(LabID[ID], MATCH( INDEX(LaboratoriosMaterias[Laboratorio], MATCH(tDatosMaestros[[#This Row],[ASIGNATURA]],LaboratoriosMaterias[Materia],0)), LabID[Laboratorio],0)), "")</f>
        <v/>
      </c>
      <c r="M143" t="str">
        <f>_xlfn.IFNA( INDEX(LabID[ID], MATCH( INDEX(LaboratoriosMaterias[LaboratorioB], MATCH(tDatosMaestros[[#This Row],[ASIGNATURA]],LaboratoriosMaterias[Materia],0)), LabID[Laboratorio],0)),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24" t="str">
        <f>"Nombre maestro "&amp;tDatosMaestros[[#This Row],[NO_CONTROL]]</f>
        <v>Nombre maestro 6610</v>
      </c>
      <c r="C144" s="24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_xlfn.IFNA( INDEX(LabID[ID], MATCH( INDEX(LaboratoriosMaterias[Laboratorio], MATCH(tDatosMaestros[[#This Row],[ASIGNATURA]],LaboratoriosMaterias[Materia],0)), LabID[Laboratorio],0)), "")</f>
        <v/>
      </c>
      <c r="M144" t="str">
        <f>_xlfn.IFNA( INDEX(LabID[ID], MATCH( INDEX(LaboratoriosMaterias[LaboratorioB], MATCH(tDatosMaestros[[#This Row],[ASIGNATURA]],LaboratoriosMaterias[Materia],0)), LabID[Laboratorio],0)),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24" t="str">
        <f>"Nombre maestro "&amp;tDatosMaestros[[#This Row],[NO_CONTROL]]</f>
        <v>Nombre maestro 6610</v>
      </c>
      <c r="C145" s="24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_xlfn.IFNA( INDEX(LabID[ID], MATCH( INDEX(LaboratoriosMaterias[Laboratorio], MATCH(tDatosMaestros[[#This Row],[ASIGNATURA]],LaboratoriosMaterias[Materia],0)), LabID[Laboratorio],0)), "")</f>
        <v/>
      </c>
      <c r="M145" t="str">
        <f>_xlfn.IFNA( INDEX(LabID[ID], MATCH( INDEX(LaboratoriosMaterias[LaboratorioB], MATCH(tDatosMaestros[[#This Row],[ASIGNATURA]],LaboratoriosMaterias[Materia],0)), LabID[Laboratorio],0)),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24" t="str">
        <f>"Nombre maestro "&amp;tDatosMaestros[[#This Row],[NO_CONTROL]]</f>
        <v>Nombre maestro 6610</v>
      </c>
      <c r="C146" s="24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_xlfn.IFNA( INDEX(LabID[ID], MATCH( INDEX(LaboratoriosMaterias[Laboratorio], MATCH(tDatosMaestros[[#This Row],[ASIGNATURA]],LaboratoriosMaterias[Materia],0)), LabID[Laboratorio],0)), "")</f>
        <v/>
      </c>
      <c r="M146" t="str">
        <f>_xlfn.IFNA( INDEX(LabID[ID], MATCH( INDEX(LaboratoriosMaterias[LaboratorioB], MATCH(tDatosMaestros[[#This Row],[ASIGNATURA]],LaboratoriosMaterias[Materia],0)), LabID[Laboratorio],0)),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24" t="str">
        <f>"Nombre maestro "&amp;tDatosMaestros[[#This Row],[NO_CONTROL]]</f>
        <v>Nombre maestro 6610</v>
      </c>
      <c r="C147" s="24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_xlfn.IFNA( INDEX(LabID[ID], MATCH( INDEX(LaboratoriosMaterias[Laboratorio], MATCH(tDatosMaestros[[#This Row],[ASIGNATURA]],LaboratoriosMaterias[Materia],0)), LabID[Laboratorio],0)), "")</f>
        <v/>
      </c>
      <c r="M147" t="str">
        <f>_xlfn.IFNA( INDEX(LabID[ID], MATCH( INDEX(LaboratoriosMaterias[LaboratorioB], MATCH(tDatosMaestros[[#This Row],[ASIGNATURA]],LaboratoriosMaterias[Materia],0)), LabID[Laboratorio],0)),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24" t="str">
        <f>"Nombre maestro "&amp;tDatosMaestros[[#This Row],[NO_CONTROL]]</f>
        <v>Nombre maestro 6610</v>
      </c>
      <c r="C148" s="24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_xlfn.IFNA( INDEX(LabID[ID], MATCH( INDEX(LaboratoriosMaterias[Laboratorio], MATCH(tDatosMaestros[[#This Row],[ASIGNATURA]],LaboratoriosMaterias[Materia],0)), LabID[Laboratorio],0)), "")</f>
        <v/>
      </c>
      <c r="M148" t="str">
        <f>_xlfn.IFNA( INDEX(LabID[ID], MATCH( INDEX(LaboratoriosMaterias[LaboratorioB], MATCH(tDatosMaestros[[#This Row],[ASIGNATURA]],LaboratoriosMaterias[Materia],0)), LabID[Laboratorio],0)),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24" t="str">
        <f>"Nombre maestro "&amp;tDatosMaestros[[#This Row],[NO_CONTROL]]</f>
        <v>Nombre maestro 6610</v>
      </c>
      <c r="C149" s="24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_xlfn.IFNA( INDEX(LabID[ID], MATCH( INDEX(LaboratoriosMaterias[Laboratorio], MATCH(tDatosMaestros[[#This Row],[ASIGNATURA]],LaboratoriosMaterias[Materia],0)), LabID[Laboratorio],0)), "")</f>
        <v/>
      </c>
      <c r="M149" t="str">
        <f>_xlfn.IFNA( INDEX(LabID[ID], MATCH( INDEX(LaboratoriosMaterias[LaboratorioB], MATCH(tDatosMaestros[[#This Row],[ASIGNATURA]],LaboratoriosMaterias[Materia],0)), LabID[Laboratorio],0)),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24" t="str">
        <f>"Nombre maestro "&amp;tDatosMaestros[[#This Row],[NO_CONTROL]]</f>
        <v>Nombre maestro 6610</v>
      </c>
      <c r="C150" s="24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_xlfn.IFNA( INDEX(LabID[ID], MATCH( INDEX(LaboratoriosMaterias[Laboratorio], MATCH(tDatosMaestros[[#This Row],[ASIGNATURA]],LaboratoriosMaterias[Materia],0)), LabID[Laboratorio],0)), "")</f>
        <v/>
      </c>
      <c r="M150" t="str">
        <f>_xlfn.IFNA( INDEX(LabID[ID], MATCH( INDEX(LaboratoriosMaterias[LaboratorioB], MATCH(tDatosMaestros[[#This Row],[ASIGNATURA]],LaboratoriosMaterias[Materia],0)), LabID[Laboratorio],0)),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24" t="str">
        <f>"Nombre maestro "&amp;tDatosMaestros[[#This Row],[NO_CONTROL]]</f>
        <v>Nombre maestro 6783</v>
      </c>
      <c r="C151" s="24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_xlfn.IFNA( INDEX(LabID[ID], MATCH( INDEX(LaboratoriosMaterias[Laboratorio], MATCH(tDatosMaestros[[#This Row],[ASIGNATURA]],LaboratoriosMaterias[Materia],0)), LabID[Laboratorio],0)), "")</f>
        <v/>
      </c>
      <c r="M151" t="str">
        <f>_xlfn.IFNA( INDEX(LabID[ID], MATCH( INDEX(LaboratoriosMaterias[LaboratorioB], MATCH(tDatosMaestros[[#This Row],[ASIGNATURA]],LaboratoriosMaterias[Materia],0)), LabID[Laboratorio],0)),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24" t="str">
        <f>"Nombre maestro "&amp;tDatosMaestros[[#This Row],[NO_CONTROL]]</f>
        <v>Nombre maestro 6783</v>
      </c>
      <c r="C152" s="24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_xlfn.IFNA( INDEX(LabID[ID], MATCH( INDEX(LaboratoriosMaterias[Laboratorio], MATCH(tDatosMaestros[[#This Row],[ASIGNATURA]],LaboratoriosMaterias[Materia],0)), LabID[Laboratorio],0)), "")</f>
        <v/>
      </c>
      <c r="M152" t="str">
        <f>_xlfn.IFNA( INDEX(LabID[ID], MATCH( INDEX(LaboratoriosMaterias[LaboratorioB], MATCH(tDatosMaestros[[#This Row],[ASIGNATURA]],LaboratoriosMaterias[Materia],0)), LabID[Laboratorio],0)),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24" t="str">
        <f>"Nombre maestro "&amp;tDatosMaestros[[#This Row],[NO_CONTROL]]</f>
        <v>Nombre maestro 6783</v>
      </c>
      <c r="C153" s="24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_xlfn.IFNA( INDEX(LabID[ID], MATCH( INDEX(LaboratoriosMaterias[Laboratorio], MATCH(tDatosMaestros[[#This Row],[ASIGNATURA]],LaboratoriosMaterias[Materia],0)), LabID[Laboratorio],0)), "")</f>
        <v/>
      </c>
      <c r="M153" t="str">
        <f>_xlfn.IFNA( INDEX(LabID[ID], MATCH( INDEX(LaboratoriosMaterias[LaboratorioB], MATCH(tDatosMaestros[[#This Row],[ASIGNATURA]],LaboratoriosMaterias[Materia],0)), LabID[Laboratorio],0)),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24" t="str">
        <f>"Nombre maestro "&amp;tDatosMaestros[[#This Row],[NO_CONTROL]]</f>
        <v>Nombre maestro 6783</v>
      </c>
      <c r="C154" s="24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_xlfn.IFNA( INDEX(LabID[ID], MATCH( INDEX(LaboratoriosMaterias[Laboratorio], MATCH(tDatosMaestros[[#This Row],[ASIGNATURA]],LaboratoriosMaterias[Materia],0)), LabID[Laboratorio],0)), "")</f>
        <v/>
      </c>
      <c r="M154" t="str">
        <f>_xlfn.IFNA( INDEX(LabID[ID], MATCH( INDEX(LaboratoriosMaterias[LaboratorioB], MATCH(tDatosMaestros[[#This Row],[ASIGNATURA]],LaboratoriosMaterias[Materia],0)), LabID[Laboratorio],0)),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24" t="str">
        <f>"Nombre maestro "&amp;tDatosMaestros[[#This Row],[NO_CONTROL]]</f>
        <v>Nombre maestro 6783</v>
      </c>
      <c r="C155" s="24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_xlfn.IFNA( INDEX(LabID[ID], MATCH( INDEX(LaboratoriosMaterias[Laboratorio], MATCH(tDatosMaestros[[#This Row],[ASIGNATURA]],LaboratoriosMaterias[Materia],0)), LabID[Laboratorio],0)), "")</f>
        <v/>
      </c>
      <c r="M155" t="str">
        <f>_xlfn.IFNA( INDEX(LabID[ID], MATCH( INDEX(LaboratoriosMaterias[LaboratorioB], MATCH(tDatosMaestros[[#This Row],[ASIGNATURA]],LaboratoriosMaterias[Materia],0)), LabID[Laboratorio],0)),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24" t="str">
        <f>"Nombre maestro "&amp;tDatosMaestros[[#This Row],[NO_CONTROL]]</f>
        <v>Nombre maestro 6784</v>
      </c>
      <c r="C156" s="24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_xlfn.IFNA( INDEX(LabID[ID], MATCH( INDEX(LaboratoriosMaterias[Laboratorio], MATCH(tDatosMaestros[[#This Row],[ASIGNATURA]],LaboratoriosMaterias[Materia],0)), LabID[Laboratorio],0)), "")</f>
        <v/>
      </c>
      <c r="M156" t="str">
        <f>_xlfn.IFNA( INDEX(LabID[ID], MATCH( INDEX(LaboratoriosMaterias[LaboratorioB], MATCH(tDatosMaestros[[#This Row],[ASIGNATURA]],LaboratoriosMaterias[Materia],0)), LabID[Laboratorio],0)),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24" t="str">
        <f>"Nombre maestro "&amp;tDatosMaestros[[#This Row],[NO_CONTROL]]</f>
        <v>Nombre maestro 6784</v>
      </c>
      <c r="C157" s="24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_xlfn.IFNA( INDEX(LabID[ID], MATCH( INDEX(LaboratoriosMaterias[Laboratorio], MATCH(tDatosMaestros[[#This Row],[ASIGNATURA]],LaboratoriosMaterias[Materia],0)), LabID[Laboratorio],0)), "")</f>
        <v/>
      </c>
      <c r="M157" t="str">
        <f>_xlfn.IFNA( INDEX(LabID[ID], MATCH( INDEX(LaboratoriosMaterias[LaboratorioB], MATCH(tDatosMaestros[[#This Row],[ASIGNATURA]],LaboratoriosMaterias[Materia],0)), LabID[Laboratorio],0)),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26" t="str">
        <f>"Nombre maestro "&amp;tDatosMaestros[[#This Row],[NO_CONTROL]]</f>
        <v>Nombre maestro 7146</v>
      </c>
      <c r="C158" s="26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_xlfn.IFNA( INDEX(LabID[ID], MATCH( INDEX(LaboratoriosMaterias[Laboratorio], MATCH(tDatosMaestros[[#This Row],[ASIGNATURA]],LaboratoriosMaterias[Materia],0)), LabID[Laboratorio],0)), "")</f>
        <v/>
      </c>
      <c r="M158" t="str">
        <f>_xlfn.IFNA( INDEX(LabID[ID], MATCH( INDEX(LaboratoriosMaterias[LaboratorioB], MATCH(tDatosMaestros[[#This Row],[ASIGNATURA]],LaboratoriosMaterias[Materia],0)), LabID[Laboratorio],0)),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24" t="str">
        <f>"Nombre maestro "&amp;tDatosMaestros[[#This Row],[NO_CONTROL]]</f>
        <v>Nombre maestro 7457</v>
      </c>
      <c r="C159" s="24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_xlfn.IFNA( INDEX(LabID[ID], MATCH( INDEX(LaboratoriosMaterias[Laboratorio], MATCH(tDatosMaestros[[#This Row],[ASIGNATURA]],LaboratoriosMaterias[Materia],0)), LabID[Laboratorio],0)), "")</f>
        <v/>
      </c>
      <c r="M159" t="str">
        <f>_xlfn.IFNA( INDEX(LabID[ID], MATCH( INDEX(LaboratoriosMaterias[LaboratorioB], MATCH(tDatosMaestros[[#This Row],[ASIGNATURA]],LaboratoriosMaterias[Materia],0)), LabID[Laboratorio],0)),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24" t="str">
        <f>"Nombre maestro "&amp;tDatosMaestros[[#This Row],[NO_CONTROL]]</f>
        <v>Nombre maestro 7457</v>
      </c>
      <c r="C160" s="24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_xlfn.IFNA( INDEX(LabID[ID], MATCH( INDEX(LaboratoriosMaterias[Laboratorio], MATCH(tDatosMaestros[[#This Row],[ASIGNATURA]],LaboratoriosMaterias[Materia],0)), LabID[Laboratorio],0)), "")</f>
        <v/>
      </c>
      <c r="M160" t="str">
        <f>_xlfn.IFNA( INDEX(LabID[ID], MATCH( INDEX(LaboratoriosMaterias[LaboratorioB], MATCH(tDatosMaestros[[#This Row],[ASIGNATURA]],LaboratoriosMaterias[Materia],0)), LabID[Laboratorio],0)),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24" t="str">
        <f>"Nombre maestro "&amp;tDatosMaestros[[#This Row],[NO_CONTROL]]</f>
        <v>Nombre maestro 7542</v>
      </c>
      <c r="C161" s="24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_xlfn.IFNA( INDEX(LabID[ID], MATCH( INDEX(LaboratoriosMaterias[Laboratorio], MATCH(tDatosMaestros[[#This Row],[ASIGNATURA]],LaboratoriosMaterias[Materia],0)), LabID[Laboratorio],0)), "")</f>
        <v/>
      </c>
      <c r="M161" t="str">
        <f>_xlfn.IFNA( INDEX(LabID[ID], MATCH( INDEX(LaboratoriosMaterias[LaboratorioB], MATCH(tDatosMaestros[[#This Row],[ASIGNATURA]],LaboratoriosMaterias[Materia],0)), LabID[Laboratorio],0)),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24" t="str">
        <f>"Nombre maestro "&amp;tDatosMaestros[[#This Row],[NO_CONTROL]]</f>
        <v>Nombre maestro 7542</v>
      </c>
      <c r="C162" s="24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_xlfn.IFNA( INDEX(LabID[ID], MATCH( INDEX(LaboratoriosMaterias[Laboratorio], MATCH(tDatosMaestros[[#This Row],[ASIGNATURA]],LaboratoriosMaterias[Materia],0)), LabID[Laboratorio],0)), "")</f>
        <v/>
      </c>
      <c r="M162" t="str">
        <f>_xlfn.IFNA( INDEX(LabID[ID], MATCH( INDEX(LaboratoriosMaterias[LaboratorioB], MATCH(tDatosMaestros[[#This Row],[ASIGNATURA]],LaboratoriosMaterias[Materia],0)), LabID[Laboratorio],0)),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24" t="str">
        <f>"Nombre maestro "&amp;tDatosMaestros[[#This Row],[NO_CONTROL]]</f>
        <v>Nombre maestro LGRA</v>
      </c>
      <c r="C163" s="24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_xlfn.IFNA( INDEX(LabID[ID], MATCH( INDEX(LaboratoriosMaterias[Laboratorio], MATCH(tDatosMaestros[[#This Row],[ASIGNATURA]],LaboratoriosMaterias[Materia],0)), LabID[Laboratorio],0)), "")</f>
        <v/>
      </c>
      <c r="M163" t="str">
        <f>_xlfn.IFNA( INDEX(LabID[ID], MATCH( INDEX(LaboratoriosMaterias[LaboratorioB], MATCH(tDatosMaestros[[#This Row],[ASIGNATURA]],LaboratoriosMaterias[Materia],0)), LabID[Laboratorio],0)),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20" sqref="A20"/>
    </sheetView>
  </sheetViews>
  <sheetFormatPr baseColWidth="10" defaultRowHeight="15" x14ac:dyDescent="0.25"/>
  <cols>
    <col min="1" max="1" width="47.85546875" bestFit="1" customWidth="1"/>
    <col min="2" max="2" width="18.5703125" bestFit="1" customWidth="1"/>
    <col min="3" max="3" width="15.42578125" bestFit="1" customWidth="1"/>
    <col min="4" max="4" width="14.5703125" bestFit="1" customWidth="1"/>
    <col min="7" max="7" width="15.4257812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23" t="s">
        <v>147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149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23" t="s">
        <v>154</v>
      </c>
      <c r="H4" t="s">
        <v>160</v>
      </c>
    </row>
    <row r="5" spans="1:8" x14ac:dyDescent="0.25">
      <c r="A5" s="24" t="s">
        <v>62</v>
      </c>
      <c r="B5">
        <v>2</v>
      </c>
      <c r="C5" t="s">
        <v>147</v>
      </c>
      <c r="G5" s="23" t="s">
        <v>143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23" t="s">
        <v>146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23" t="s">
        <v>148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A3" sqref="A3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14"/>
      <c r="C6" s="14"/>
      <c r="D6" s="14"/>
      <c r="E6" s="14"/>
      <c r="F6" s="22"/>
    </row>
    <row r="7" spans="1:6" x14ac:dyDescent="0.25">
      <c r="A7" s="12" t="s">
        <v>95</v>
      </c>
      <c r="B7" s="15"/>
      <c r="C7" s="15"/>
      <c r="D7" s="15"/>
      <c r="E7" s="15"/>
      <c r="F7" s="18"/>
    </row>
    <row r="8" spans="1:6" x14ac:dyDescent="0.25">
      <c r="A8" s="13"/>
      <c r="B8" s="21"/>
      <c r="C8" s="21"/>
      <c r="D8" s="21"/>
      <c r="E8" s="21"/>
      <c r="F8" s="19"/>
    </row>
    <row r="9" spans="1:6" x14ac:dyDescent="0.25">
      <c r="A9" s="12"/>
      <c r="B9" s="15"/>
      <c r="C9" s="15"/>
      <c r="D9" s="15"/>
      <c r="E9" s="15"/>
      <c r="F9" s="18"/>
    </row>
    <row r="10" spans="1:6" x14ac:dyDescent="0.25">
      <c r="A10" s="12" t="s">
        <v>83</v>
      </c>
      <c r="B10" s="15"/>
      <c r="C10" s="15"/>
      <c r="D10" s="15"/>
      <c r="E10" s="15"/>
      <c r="F10" s="18"/>
    </row>
    <row r="11" spans="1:6" x14ac:dyDescent="0.25">
      <c r="A11" s="12"/>
      <c r="B11" s="15"/>
      <c r="C11" s="15"/>
      <c r="D11" s="15"/>
      <c r="E11" s="15"/>
      <c r="F11" s="18"/>
    </row>
    <row r="12" spans="1:6" x14ac:dyDescent="0.25">
      <c r="A12" s="11"/>
      <c r="B12" s="14"/>
      <c r="C12" s="14"/>
      <c r="D12" s="14"/>
      <c r="E12" s="14"/>
      <c r="F12" s="22"/>
    </row>
    <row r="13" spans="1:6" x14ac:dyDescent="0.25">
      <c r="A13" s="12" t="s">
        <v>84</v>
      </c>
      <c r="B13" s="15"/>
      <c r="C13" s="15"/>
      <c r="D13" s="15"/>
      <c r="E13" s="15"/>
      <c r="F13" s="18"/>
    </row>
    <row r="14" spans="1:6" x14ac:dyDescent="0.25">
      <c r="A14" s="13"/>
      <c r="B14" s="21"/>
      <c r="C14" s="21"/>
      <c r="D14" s="21"/>
      <c r="E14" s="21"/>
      <c r="F14" s="19"/>
    </row>
    <row r="15" spans="1:6" x14ac:dyDescent="0.25">
      <c r="A15" s="11"/>
      <c r="B15" s="14"/>
      <c r="C15" s="14"/>
      <c r="D15" s="14"/>
      <c r="E15" s="14"/>
      <c r="F15" s="22"/>
    </row>
    <row r="16" spans="1:6" x14ac:dyDescent="0.25">
      <c r="A16" s="12" t="s">
        <v>85</v>
      </c>
      <c r="B16" s="15"/>
      <c r="C16" s="15"/>
      <c r="D16" s="15"/>
      <c r="E16" s="15"/>
      <c r="F16" s="18"/>
    </row>
    <row r="17" spans="1:6" x14ac:dyDescent="0.25">
      <c r="A17" s="13"/>
      <c r="B17" s="21"/>
      <c r="C17" s="21"/>
      <c r="D17" s="21"/>
      <c r="E17" s="21"/>
      <c r="F17" s="19"/>
    </row>
    <row r="18" spans="1:6" x14ac:dyDescent="0.25">
      <c r="A18" s="11"/>
      <c r="B18" s="14"/>
      <c r="C18" s="14"/>
      <c r="D18" s="14"/>
      <c r="E18" s="14"/>
      <c r="F18" s="22"/>
    </row>
    <row r="19" spans="1:6" x14ac:dyDescent="0.25">
      <c r="A19" s="12" t="s">
        <v>86</v>
      </c>
      <c r="B19" s="15"/>
      <c r="C19" s="15"/>
      <c r="D19" s="15"/>
      <c r="E19" s="15"/>
      <c r="F19" s="18"/>
    </row>
    <row r="20" spans="1:6" x14ac:dyDescent="0.25">
      <c r="A20" s="13"/>
      <c r="B20" s="21"/>
      <c r="C20" s="21"/>
      <c r="D20" s="21"/>
      <c r="E20" s="21"/>
      <c r="F20" s="19"/>
    </row>
    <row r="21" spans="1:6" x14ac:dyDescent="0.25">
      <c r="A21" s="11"/>
      <c r="B21" s="14"/>
      <c r="C21" s="14"/>
      <c r="D21" s="14"/>
      <c r="E21" s="14"/>
      <c r="F21" s="22"/>
    </row>
    <row r="22" spans="1:6" x14ac:dyDescent="0.25">
      <c r="A22" s="12" t="s">
        <v>87</v>
      </c>
      <c r="B22" s="15"/>
      <c r="C22" s="15"/>
      <c r="D22" s="15"/>
      <c r="E22" s="15"/>
      <c r="F22" s="18"/>
    </row>
    <row r="23" spans="1:6" x14ac:dyDescent="0.25">
      <c r="A23" s="13"/>
      <c r="B23" s="21"/>
      <c r="C23" s="21"/>
      <c r="D23" s="21"/>
      <c r="E23" s="21"/>
      <c r="F23" s="19"/>
    </row>
    <row r="24" spans="1:6" x14ac:dyDescent="0.25">
      <c r="A24" s="11"/>
      <c r="B24" s="14"/>
      <c r="C24" s="14"/>
      <c r="D24" s="14"/>
      <c r="E24" s="14"/>
      <c r="F24" s="22"/>
    </row>
    <row r="25" spans="1:6" x14ac:dyDescent="0.25">
      <c r="A25" s="12" t="s">
        <v>88</v>
      </c>
      <c r="B25" s="15"/>
      <c r="C25" s="15"/>
      <c r="D25" s="15"/>
      <c r="E25" s="15"/>
      <c r="F25" s="18"/>
    </row>
    <row r="26" spans="1:6" x14ac:dyDescent="0.25">
      <c r="A26" s="13"/>
      <c r="B26" s="21"/>
      <c r="C26" s="21"/>
      <c r="D26" s="21"/>
      <c r="E26" s="21"/>
      <c r="F26" s="19"/>
    </row>
    <row r="27" spans="1:6" x14ac:dyDescent="0.25">
      <c r="A27" s="11"/>
      <c r="B27" s="14"/>
      <c r="C27" s="14"/>
      <c r="D27" s="14"/>
      <c r="E27" s="14"/>
      <c r="F27" s="22"/>
    </row>
    <row r="28" spans="1:6" x14ac:dyDescent="0.25">
      <c r="A28" s="12" t="s">
        <v>89</v>
      </c>
      <c r="B28" s="15"/>
      <c r="C28" s="15"/>
      <c r="D28" s="15"/>
      <c r="E28" s="15"/>
      <c r="F28" s="18"/>
    </row>
    <row r="29" spans="1:6" x14ac:dyDescent="0.25">
      <c r="A29" s="13"/>
      <c r="B29" s="21"/>
      <c r="C29" s="21"/>
      <c r="D29" s="21"/>
      <c r="E29" s="21"/>
      <c r="F29" s="19"/>
    </row>
    <row r="30" spans="1:6" x14ac:dyDescent="0.25">
      <c r="A30" s="12"/>
      <c r="B30" s="15"/>
      <c r="C30" s="15"/>
      <c r="D30" s="15"/>
      <c r="E30" s="15"/>
      <c r="F30" s="18"/>
    </row>
    <row r="31" spans="1:6" x14ac:dyDescent="0.25">
      <c r="A31" s="12" t="s">
        <v>90</v>
      </c>
      <c r="B31" s="15"/>
      <c r="C31" s="15"/>
      <c r="D31" s="15"/>
      <c r="E31" s="15"/>
      <c r="F31" s="18"/>
    </row>
    <row r="32" spans="1:6" x14ac:dyDescent="0.25">
      <c r="A32" s="13"/>
      <c r="B32" s="21"/>
      <c r="C32" s="21"/>
      <c r="D32" s="21"/>
      <c r="E32" s="21"/>
      <c r="F32" s="19"/>
    </row>
  </sheetData>
  <pageMargins left="0.7" right="0.7" top="0.75" bottom="0.75" header="0.3" footer="0.3"/>
  <pageSetup paperSize="19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B21" sqref="B21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14"/>
      <c r="C6" s="14"/>
      <c r="D6" s="14"/>
      <c r="E6" s="14"/>
      <c r="F6" s="22"/>
    </row>
    <row r="7" spans="1:6" x14ac:dyDescent="0.25">
      <c r="A7" s="12" t="s">
        <v>95</v>
      </c>
      <c r="B7" s="15" t="s">
        <v>97</v>
      </c>
      <c r="C7" s="15" t="s">
        <v>97</v>
      </c>
      <c r="D7" s="15" t="s">
        <v>97</v>
      </c>
      <c r="E7" s="15" t="s">
        <v>97</v>
      </c>
      <c r="F7" s="18" t="s">
        <v>97</v>
      </c>
    </row>
    <row r="8" spans="1:6" x14ac:dyDescent="0.25">
      <c r="A8" s="13"/>
      <c r="B8" s="21"/>
      <c r="C8" s="21"/>
      <c r="D8" s="21"/>
      <c r="E8" s="21"/>
      <c r="F8" s="19"/>
    </row>
    <row r="9" spans="1:6" x14ac:dyDescent="0.25">
      <c r="A9" s="12"/>
      <c r="B9" s="15"/>
      <c r="C9" s="15"/>
      <c r="D9" s="15"/>
      <c r="E9" s="15"/>
      <c r="F9" s="18"/>
    </row>
    <row r="10" spans="1:6" x14ac:dyDescent="0.25">
      <c r="A10" s="12" t="s">
        <v>83</v>
      </c>
      <c r="B10" s="15" t="s">
        <v>97</v>
      </c>
      <c r="C10" s="15" t="s">
        <v>97</v>
      </c>
      <c r="D10" s="15" t="s">
        <v>97</v>
      </c>
      <c r="E10" s="15" t="s">
        <v>97</v>
      </c>
      <c r="F10" s="18" t="s">
        <v>97</v>
      </c>
    </row>
    <row r="11" spans="1:6" x14ac:dyDescent="0.25">
      <c r="A11" s="12"/>
      <c r="B11" s="15"/>
      <c r="C11" s="15"/>
      <c r="D11" s="15"/>
      <c r="E11" s="15"/>
      <c r="F11" s="18"/>
    </row>
    <row r="12" spans="1:6" x14ac:dyDescent="0.25">
      <c r="A12" s="11"/>
      <c r="B12" s="14"/>
      <c r="C12" s="14"/>
      <c r="D12" s="14"/>
      <c r="E12" s="14"/>
      <c r="F12" s="22"/>
    </row>
    <row r="13" spans="1:6" x14ac:dyDescent="0.25">
      <c r="A13" s="12" t="s">
        <v>84</v>
      </c>
      <c r="B13" s="15" t="s">
        <v>97</v>
      </c>
      <c r="C13" s="15" t="s">
        <v>97</v>
      </c>
      <c r="D13" s="15" t="s">
        <v>97</v>
      </c>
      <c r="E13" s="15" t="s">
        <v>97</v>
      </c>
      <c r="F13" s="18" t="s">
        <v>97</v>
      </c>
    </row>
    <row r="14" spans="1:6" x14ac:dyDescent="0.25">
      <c r="A14" s="13"/>
      <c r="B14" s="21"/>
      <c r="C14" s="21"/>
      <c r="D14" s="21"/>
      <c r="E14" s="21"/>
      <c r="F14" s="19"/>
    </row>
    <row r="15" spans="1:6" x14ac:dyDescent="0.25">
      <c r="A15" s="11"/>
      <c r="B15" s="14"/>
      <c r="C15" s="14"/>
      <c r="D15" s="14"/>
      <c r="E15" s="14"/>
      <c r="F15" s="22"/>
    </row>
    <row r="16" spans="1:6" x14ac:dyDescent="0.25">
      <c r="A16" s="12" t="s">
        <v>85</v>
      </c>
      <c r="B16" s="15" t="s">
        <v>97</v>
      </c>
      <c r="C16" s="15" t="s">
        <v>97</v>
      </c>
      <c r="D16" s="15" t="s">
        <v>97</v>
      </c>
      <c r="E16" s="15" t="s">
        <v>97</v>
      </c>
      <c r="F16" s="18" t="s">
        <v>97</v>
      </c>
    </row>
    <row r="17" spans="1:6" x14ac:dyDescent="0.25">
      <c r="A17" s="13"/>
      <c r="B17" s="21"/>
      <c r="C17" s="21"/>
      <c r="D17" s="21"/>
      <c r="E17" s="21"/>
      <c r="F17" s="19"/>
    </row>
    <row r="18" spans="1:6" x14ac:dyDescent="0.25">
      <c r="A18" s="11"/>
      <c r="B18" s="14"/>
      <c r="C18" s="14"/>
      <c r="D18" s="14"/>
      <c r="E18" s="14"/>
      <c r="F18" s="22"/>
    </row>
    <row r="19" spans="1:6" x14ac:dyDescent="0.25">
      <c r="A19" s="12" t="s">
        <v>86</v>
      </c>
      <c r="B19" s="15"/>
      <c r="C19" s="15"/>
      <c r="D19" s="15"/>
      <c r="E19" s="15"/>
      <c r="F19" s="18"/>
    </row>
    <row r="20" spans="1:6" x14ac:dyDescent="0.25">
      <c r="A20" s="13"/>
      <c r="B20" s="21"/>
      <c r="C20" s="21"/>
      <c r="D20" s="21"/>
      <c r="E20" s="21"/>
      <c r="F20" s="19"/>
    </row>
    <row r="21" spans="1:6" x14ac:dyDescent="0.25">
      <c r="A21" s="11"/>
      <c r="B21" s="14"/>
      <c r="C21" s="14"/>
      <c r="D21" s="14"/>
      <c r="E21" s="14"/>
      <c r="F21" s="22"/>
    </row>
    <row r="22" spans="1:6" x14ac:dyDescent="0.25">
      <c r="A22" s="12" t="s">
        <v>87</v>
      </c>
      <c r="B22" s="15"/>
      <c r="C22" s="15"/>
      <c r="D22" s="15"/>
      <c r="E22" s="15"/>
      <c r="F22" s="18"/>
    </row>
    <row r="23" spans="1:6" x14ac:dyDescent="0.25">
      <c r="A23" s="13"/>
      <c r="B23" s="21"/>
      <c r="C23" s="21"/>
      <c r="D23" s="21"/>
      <c r="E23" s="21"/>
      <c r="F23" s="19"/>
    </row>
    <row r="24" spans="1:6" x14ac:dyDescent="0.25">
      <c r="A24" s="11"/>
      <c r="B24" s="14"/>
      <c r="C24" s="14"/>
      <c r="D24" s="14"/>
      <c r="E24" s="14"/>
      <c r="F24" s="22"/>
    </row>
    <row r="25" spans="1:6" x14ac:dyDescent="0.25">
      <c r="A25" s="12" t="s">
        <v>88</v>
      </c>
      <c r="B25" s="15"/>
      <c r="C25" s="15"/>
      <c r="D25" s="15"/>
      <c r="E25" s="15"/>
      <c r="F25" s="18"/>
    </row>
    <row r="26" spans="1:6" x14ac:dyDescent="0.25">
      <c r="A26" s="13"/>
      <c r="B26" s="21"/>
      <c r="C26" s="21"/>
      <c r="D26" s="21"/>
      <c r="E26" s="21"/>
      <c r="F26" s="19"/>
    </row>
    <row r="27" spans="1:6" x14ac:dyDescent="0.25">
      <c r="A27" s="11"/>
      <c r="B27" s="14"/>
      <c r="C27" s="14"/>
      <c r="D27" s="14"/>
      <c r="E27" s="14"/>
      <c r="F27" s="22"/>
    </row>
    <row r="28" spans="1:6" x14ac:dyDescent="0.25">
      <c r="A28" s="12" t="s">
        <v>89</v>
      </c>
      <c r="B28" s="15"/>
      <c r="C28" s="15"/>
      <c r="D28" s="15"/>
      <c r="E28" s="15"/>
      <c r="F28" s="18"/>
    </row>
    <row r="29" spans="1:6" x14ac:dyDescent="0.25">
      <c r="A29" s="13"/>
      <c r="B29" s="21"/>
      <c r="C29" s="21"/>
      <c r="D29" s="21"/>
      <c r="E29" s="21"/>
      <c r="F29" s="19"/>
    </row>
    <row r="30" spans="1:6" x14ac:dyDescent="0.25">
      <c r="A30" s="12"/>
      <c r="B30" s="15"/>
      <c r="C30" s="15"/>
      <c r="D30" s="15"/>
      <c r="E30" s="15"/>
      <c r="F30" s="18"/>
    </row>
    <row r="31" spans="1:6" x14ac:dyDescent="0.25">
      <c r="A31" s="12" t="s">
        <v>90</v>
      </c>
      <c r="B31" s="15"/>
      <c r="C31" s="15"/>
      <c r="D31" s="15"/>
      <c r="E31" s="15"/>
      <c r="F31" s="18"/>
    </row>
    <row r="32" spans="1:6" x14ac:dyDescent="0.25">
      <c r="A32" s="13"/>
      <c r="B32" s="21"/>
      <c r="C32" s="21"/>
      <c r="D32" s="21"/>
      <c r="E32" s="21"/>
      <c r="F32" s="19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Maestros</vt:lpstr>
      <vt:lpstr>Laboratorio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2013-08-30T16:26:02Z</dcterms:created>
  <dcterms:modified xsi:type="dcterms:W3CDTF">2014-01-03T05:54:41Z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