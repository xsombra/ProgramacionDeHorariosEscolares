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codeName="ThisWorkbook" defaultThemeVersion="124226"/>
  <bookViews>
    <workbookView xWindow="0" yWindow="0" windowWidth="19560" windowHeight="8340"/>
  </bookViews>
  <sheets>
    <sheet name="Maestros" sheetId="1" r:id="rId1"/>
    <sheet name="Laboratorio" sheetId="5" r:id="rId2"/>
    <sheet name="Plantilla_ListaAsistencia" sheetId="6" r:id="rId3"/>
    <sheet name="Plantilla_Horario" sheetId="2" r:id="rId4"/>
    <sheet name="M_3010" sheetId="4" r:id="rId5"/>
  </sheets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3" i="1"/>
  <c r="L24" i="1"/>
  <c r="L2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3" i="1"/>
  <c r="M24" i="1"/>
  <c r="M2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K137" i="1" l="1"/>
  <c r="K138" i="1"/>
  <c r="K32" i="1"/>
  <c r="K33" i="1"/>
  <c r="K34" i="1"/>
  <c r="K35" i="1"/>
  <c r="K71" i="1"/>
  <c r="K72" i="1"/>
  <c r="K36" i="1"/>
  <c r="K37" i="1"/>
  <c r="K38" i="1"/>
  <c r="K39" i="1"/>
  <c r="K56" i="1"/>
  <c r="K57" i="1"/>
  <c r="K115" i="1"/>
  <c r="K116" i="1"/>
  <c r="K117" i="1"/>
  <c r="K11" i="1"/>
  <c r="K12" i="1"/>
  <c r="K13" i="1"/>
  <c r="K14" i="1"/>
  <c r="K58" i="1"/>
  <c r="K59" i="1"/>
  <c r="K60" i="1"/>
  <c r="K61" i="1"/>
  <c r="K156" i="1"/>
  <c r="K157" i="1"/>
  <c r="K93" i="1"/>
  <c r="K94" i="1"/>
  <c r="K95" i="1"/>
  <c r="K62" i="1"/>
  <c r="K88" i="1"/>
  <c r="K89" i="1"/>
  <c r="K90" i="1"/>
  <c r="K91" i="1"/>
  <c r="K151" i="1"/>
  <c r="K152" i="1"/>
  <c r="K153" i="1"/>
  <c r="K154" i="1"/>
  <c r="K155" i="1"/>
  <c r="K92" i="1"/>
  <c r="K100" i="1"/>
  <c r="K101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02" i="1"/>
  <c r="K103" i="1"/>
  <c r="K104" i="1"/>
  <c r="K158" i="1"/>
  <c r="K40" i="1"/>
  <c r="K41" i="1"/>
  <c r="K163" i="1"/>
  <c r="K69" i="1"/>
  <c r="K70" i="1"/>
  <c r="K43" i="1"/>
  <c r="K44" i="1"/>
  <c r="K45" i="1"/>
  <c r="K107" i="1"/>
  <c r="K108" i="1"/>
  <c r="K109" i="1"/>
  <c r="K110" i="1"/>
  <c r="K111" i="1"/>
  <c r="K112" i="1"/>
  <c r="K113" i="1"/>
  <c r="K114" i="1"/>
  <c r="K52" i="1"/>
  <c r="K53" i="1"/>
  <c r="K42" i="1"/>
  <c r="K54" i="1"/>
  <c r="K15" i="1"/>
  <c r="K161" i="1"/>
  <c r="K162" i="1"/>
  <c r="K19" i="1"/>
  <c r="K20" i="1"/>
  <c r="K21" i="1"/>
  <c r="K22" i="1"/>
  <c r="K23" i="1"/>
  <c r="K3" i="1"/>
  <c r="K24" i="1"/>
  <c r="K2" i="1"/>
  <c r="K74" i="1"/>
  <c r="K75" i="1"/>
  <c r="K76" i="1"/>
  <c r="K77" i="1"/>
  <c r="K78" i="1"/>
  <c r="K79" i="1"/>
  <c r="K80" i="1"/>
  <c r="K81" i="1"/>
  <c r="K82" i="1"/>
  <c r="K83" i="1"/>
  <c r="K25" i="1"/>
  <c r="K8" i="1"/>
  <c r="K9" i="1"/>
  <c r="K10" i="1"/>
  <c r="K26" i="1"/>
  <c r="K27" i="1"/>
  <c r="K50" i="1"/>
  <c r="K73" i="1"/>
  <c r="K124" i="1"/>
  <c r="K125" i="1"/>
  <c r="K126" i="1"/>
  <c r="K55" i="1"/>
  <c r="K16" i="1"/>
  <c r="K17" i="1"/>
  <c r="K63" i="1"/>
  <c r="K64" i="1"/>
  <c r="K65" i="1"/>
  <c r="K66" i="1"/>
  <c r="K96" i="1"/>
  <c r="K97" i="1"/>
  <c r="K98" i="1"/>
  <c r="K99" i="1"/>
  <c r="K28" i="1"/>
  <c r="K29" i="1"/>
  <c r="K30" i="1"/>
  <c r="K31" i="1"/>
  <c r="K48" i="1"/>
  <c r="K49" i="1"/>
  <c r="K67" i="1"/>
  <c r="K68" i="1"/>
  <c r="K127" i="1"/>
  <c r="K128" i="1"/>
  <c r="K129" i="1"/>
  <c r="K130" i="1"/>
  <c r="K118" i="1"/>
  <c r="K119" i="1"/>
  <c r="K120" i="1"/>
  <c r="K121" i="1"/>
  <c r="K122" i="1"/>
  <c r="K123" i="1"/>
  <c r="K131" i="1"/>
  <c r="K132" i="1"/>
  <c r="K133" i="1"/>
  <c r="K134" i="1"/>
  <c r="K135" i="1"/>
  <c r="K159" i="1"/>
  <c r="K160" i="1"/>
  <c r="K18" i="1"/>
  <c r="K4" i="1"/>
  <c r="K5" i="1"/>
  <c r="K6" i="1"/>
  <c r="K7" i="1"/>
  <c r="K51" i="1"/>
  <c r="K46" i="1"/>
  <c r="K47" i="1"/>
  <c r="K84" i="1"/>
  <c r="K85" i="1"/>
  <c r="K86" i="1"/>
  <c r="K87" i="1"/>
  <c r="K105" i="1"/>
  <c r="K106" i="1"/>
  <c r="K136" i="1"/>
</calcChain>
</file>

<file path=xl/sharedStrings.xml><?xml version="1.0" encoding="utf-8"?>
<sst xmlns="http://schemas.openxmlformats.org/spreadsheetml/2006/main" count="980" uniqueCount="179">
  <si>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</si>
  <si>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</si>
  <si>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</si>
  <si>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</si>
  <si>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</si>
  <si>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</si>
  <si>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</si>
  <si>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</si>
  <si>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</si>
  <si>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</si>
  <si>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</si>
  <si>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</si>
  <si>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</si>
  <si>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</si>
  <si>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</si>
  <si>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</si>
  <si>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</si>
  <si>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</si>
  <si>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</si>
  <si>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</si>
  <si>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</si>
  <si>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</si>
  <si>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</si>
  <si>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</si>
  <si>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</si>
  <si>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</si>
  <si>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</si>
  <si>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</si>
  <si>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</si>
  <si>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</si>
  <si>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</si>
  <si>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</si>
  <si>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</si>
  <si>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</si>
  <si>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</si>
  <si>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</si>
  <si>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</si>
  <si>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</si>
  <si>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</si>
  <si>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</si>
  <si>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</si>
  <si>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</si>
  <si>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</si>
  <si>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</si>
  <si>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</si>
  <si>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</si>
  <si>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</si>
  <si>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</si>
  <si>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</si>
  <si>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</si>
  <si>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</si>
  <si>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</si>
  <si>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</si>
  <si>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</si>
  <si>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</si>
  <si>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</si>
  <si>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</si>
  <si>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</si>
  <si>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</si>
  <si>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</si>
  <si>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</si>
  <si>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</si>
  <si>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</si>
  <si>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</si>
  <si>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</si>
  <si>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</si>
  <si>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</si>
  <si>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</si>
  <si>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</si>
  <si>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</si>
  <si>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</si>
  <si>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</si>
  <si>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</si>
  <si>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</si>
  <si>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</si>
  <si>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</si>
  <si>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</si>
  <si>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</si>
  <si>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</si>
  <si>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</si>
  <si>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</si>
  <si>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</si>
  <si>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</si>
  <si>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</si>
  <si>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</si>
  <si>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</si>
  <si>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</si>
  <si>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</si>
  <si>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</si>
  <si>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</si>
  <si>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</si>
  <si>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</si>
  <si>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</si>
  <si>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</si>
  <si>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</si>
  <si>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</si>
  <si>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</si>
  <si>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</si>
  <si>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</si>
  <si>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</si>
  <si>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</si>
  <si>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</si>
  <si>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</si>
  <si>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</si>
  <si>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</si>
  <si>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</si>
  <si>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</si>
  <si>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</si>
  <si>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</si>
  <si>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</si>
  <si>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</si>
  <si>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</si>
  <si>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</si>
  <si>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</si>
  <si>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</si>
  <si>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</si>
  <si>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</si>
  <si>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</si>
  <si>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</si>
  <si>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</si>
  <si>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</si>
  <si>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</si>
  <si>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</si>
  <si>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</si>
  <si>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</si>
  <si>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</si>
  <si>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</si>
  <si>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</si>
  <si>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</si>
  <si>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</si>
  <si>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</si>
  <si>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</si>
  <si>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</si>
  <si>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</si>
  <si>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</si>
  <si>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</si>
  <si>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</si>
  <si>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</si>
  <si>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</si>
  <si>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</si>
  <si>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</si>
  <si>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</si>
  <si>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</si>
  <si>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</si>
  <si>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</si>
  <si>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</si>
  <si>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</si>
  <si>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</si>
  <si>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</si>
  <si>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</si>
  <si>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</si>
  <si>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</si>
  <si>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</si>
  <si>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</si>
  <si>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</si>
  <si>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</si>
  <si>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</si>
  <si>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</si>
  <si>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</si>
  <si>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</si>
  <si>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</si>
  <si>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</si>
  <si>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</si>
  <si>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</si>
  <si>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</si>
  <si>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</si>
  <si>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</si>
  <si>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</si>
  <si>
    <t>L. DE BIOLOGÍA</t>
  </si>
  <si>
    <t>L. DE FÍSICA</t>
  </si>
  <si>
    <t>L. DE QUÍMICA</t>
  </si>
  <si>
    <t>MÓDULO NORTE</t>
  </si>
  <si>
    <t>MÓDULO SUR</t>
  </si>
  <si>
    <t>T. DE ELECTRÓNICA</t>
  </si>
  <si>
    <t>Clave Maestro</t>
  </si>
  <si>
    <t>Grupo</t>
  </si>
  <si>
    <t>Nombre maestro</t>
  </si>
  <si>
    <t>Día</t>
  </si>
  <si>
    <t>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</si>
</sst>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5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2" fillId="7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2" fillId="7" borderId="7" xfId="5" applyBorder="1" applyAlignment="1">
      <alignment horizontal="center" vertical="center"/>
    </xf>
    <xf numFmtId="0" fontId="2" fillId="7" borderId="8" xfId="5" applyBorder="1" applyAlignment="1">
      <alignment horizontal="center" vertical="center"/>
    </xf>
    <xf numFmtId="0" fontId="2" fillId="7" borderId="9" xfId="5" applyBorder="1" applyAlignment="1">
      <alignment horizontal="center" vertical="center"/>
    </xf>
    <xf numFmtId="0" fontId="2" fillId="7" borderId="10" xfId="5" applyBorder="1"/>
    <xf numFmtId="0" fontId="2" fillId="7" borderId="12" xfId="5" applyBorder="1" applyAlignment="1">
      <alignment horizontal="center" vertical="center"/>
    </xf>
    <xf numFmtId="0" fontId="2" fillId="7" borderId="14" xfId="5" applyBorder="1" applyAlignment="1">
      <alignment horizontal="center" vertical="center"/>
    </xf>
    <xf numFmtId="0" fontId="2" fillId="7" borderId="10" xfId="5" applyBorder="1" applyAlignment="1">
      <alignment horizontal="center" vertical="center"/>
    </xf>
    <xf numFmtId="0" fontId="2" fillId="7" borderId="16" xfId="5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0" xfId="0" applyBorder="1" applyAlignment="1">
      <alignment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4" fillId="0" borderId="4" xfId="3" applyAlignment="1">
      <alignment horizontal="left" vertical="center"/>
    </xf>
    <xf numFmtId="0" fontId="0" fillId="0" borderId="0" xfId="0" applyBorder="1" applyAlignment="1">
      <alignment horizontal="center" vertical="center" shrinkToFit="1"/>
    </xf>
    <xf numFmtId="0" fontId="3" fillId="0" borderId="0" xfId="2" applyAlignment="1">
      <alignment horizontal="left" vertical="center"/>
    </xf>
    <xf numFmtId="0" fontId="4" fillId="0" borderId="4" xfId="3" applyAlignment="1">
      <alignment horizontal="left" vertical="center"/>
    </xf>
    <xf numFmtId="0" fontId="5" fillId="0" borderId="6" xfId="4" applyBorder="1" applyAlignment="1">
      <alignment horizontal="left" vertical="center"/>
    </xf>
  </cellXfs>
  <cellStyles count="6">
    <cellStyle name="20% - Énfasis1" xfId="5" builtinId="30"/>
    <cellStyle name="Normal" xfId="0" builtinId="0"/>
    <cellStyle name="Normal 2" xfId="1"/>
    <cellStyle name="Título" xfId="2" builtinId="15"/>
    <cellStyle name="Título 1" xfId="3" builtinId="16"/>
    <cellStyle name="Título 2" xfId="4" builtinId="17"/>
  </cellStyles>
  <dxfs count="12">
    <dxf>
      <numFmt numFmtId="0" formatCode="General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8</xdr:col>
      <xdr:colOff>76200</xdr:colOff>
      <xdr:row>2</xdr:row>
      <xdr:rowOff>0</xdr:rowOff>
    </xdr:to>
    <xdr:pic>
      <xdr:nvPicPr>
        <xdr:cNvPr id="2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5" y="0"/>
          <a:ext cx="31242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1504950</xdr:colOff>
      <xdr:row>0</xdr:row>
      <xdr:rowOff>0</xdr:rowOff>
    </xdr:from>
    <xdr:to>
      <xdr:col>6</xdr:col>
      <xdr:colOff>0</xdr:colOff>
      <xdr:row>1</xdr:row>
      <xdr:rowOff>323850</xdr:rowOff>
    </xdr:to>
    <xdr:pic>
      <xdr:nvPicPr>
        <xdr:cNvPr id="3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0"/>
          <a:ext cx="312420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DatosMaestros" displayName="tDatosMaestros" ref="A1:O163" totalsRowShown="0">
  <autoFilter ref="A1:O163"/>
  <sortState ref="A2:O163">
    <sortCondition descending="1" ref="O2:O163"/>
    <sortCondition descending="1" ref="L2:L163"/>
    <sortCondition ref="A2:A163"/>
  </sortState>
  <tableColumns count="15">
    <tableColumn id="1" name="NO_CONTROL" dataDxfId="10"/>
    <tableColumn id="2" name="NOMBRE_PROFESOR" dataDxfId="0">
      <calculatedColumnFormula>"Nombre maestro "&amp;tDatosMaestros[[#This Row],[NO_CONTROL]]</calculatedColumnFormula>
    </tableColumn>
    <tableColumn id="3" name="ASIGNATURA" dataDxfId="9"/>
    <tableColumn id="4" name="HORAS" dataDxfId="8"/>
    <tableColumn id="5" name="GRUPO" dataDxfId="7"/>
    <tableColumn id="6" name="STATUS" dataDxfId="6"/>
    <tableColumn id="7" name="TIPO PROFESOR" dataDxfId="5"/>
    <tableColumn id="10" name="IDMateria"/>
    <tableColumn id="12" name="HorasClase"/>
    <tableColumn id="13" name="HorasLaboratorio"/>
    <tableColumn id="11" name="Hora de Inicio" dataDxfId="4">
      <calculatedColumnFormula>IF(tDatosMaestros[[#This Row],[TIPO PROFESOR]]="HRS", 3,2)</calculatedColumnFormula>
    </tableColumn>
    <tableColumn id="8" name="Laboratorio" dataDxfId="3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2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1"/>
    <tableColumn id="2" name="ID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4:F5" insertRow="1" totalsRowShown="0">
  <autoFilter ref="A4:F5"/>
  <tableColumns count="6">
    <tableColumn id="1" name="Clave Maestro"/>
    <tableColumn id="2" name="Nombre maestro"/>
    <tableColumn id="3" name="Materia"/>
    <tableColumn id="4" name="Grupo"/>
    <tableColumn id="5" name="Día"/>
    <tableColumn id="6" name="Hora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163"/>
  <sheetViews>
    <sheetView tabSelected="1" zoomScaleNormal="100" workbookViewId="0">
      <pane ySplit="1" topLeftCell="A65" activePane="bottomLeft" state="frozen"/>
      <selection pane="bottomLeft" activeCell="B68" sqref="B68"/>
    </sheetView>
  </sheetViews>
  <sheetFormatPr baseColWidth="10" defaultRowHeight="15" x14ac:dyDescent="0.25"/>
  <cols>
    <col min="1" max="1" width="15.5703125" style="1" customWidth="1"/>
    <col min="2" max="2" width="39.7109375" customWidth="1"/>
    <col min="3" max="3" width="47.85546875" customWidth="1"/>
    <col min="4" max="4" width="11.7109375" style="1" customWidth="1"/>
    <col min="5" max="5" width="11.85546875" style="1" customWidth="1"/>
    <col min="6" max="6" width="9.85546875" customWidth="1"/>
    <col min="7" max="7" width="14.85546875" customWidth="1"/>
    <col min="9" max="9" width="13" customWidth="1"/>
    <col min="10" max="10" width="18.5703125" customWidth="1"/>
    <col min="11" max="11" width="15.42578125" customWidth="1"/>
    <col min="12" max="12" width="6.28515625" customWidth="1"/>
    <col min="14" max="14" width="7.5703125" customWidth="1"/>
    <col min="16" max="16" width="15.42578125" customWidth="1"/>
  </cols>
  <sheetData>
    <row r="1" spans="1:15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</row>
    <row r="2" spans="1:15" x14ac:dyDescent="0.25">
      <c r="A2" s="1">
        <v>4179</v>
      </c>
      <c r="B2" s="8" t="str">
        <f>"Nombre maestro "&amp;tDatosMaestros[[#This Row],[NO_CONTROL]]</f>
        <v>Nombre maestro 4179</v>
      </c>
      <c r="C2" s="8" t="s">
        <v>56</v>
      </c>
      <c r="D2" s="1">
        <v>4</v>
      </c>
      <c r="E2" s="1" t="s">
        <v>26</v>
      </c>
      <c r="F2" t="s">
        <v>9</v>
      </c>
      <c r="G2" t="s">
        <v>10</v>
      </c>
      <c r="H2" t="s">
        <v>124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>MS</v>
      </c>
      <c r="N2">
        <v>0</v>
      </c>
      <c r="O2">
        <v>11</v>
      </c>
    </row>
    <row r="3" spans="1:15" x14ac:dyDescent="0.25">
      <c r="A3" s="1">
        <v>4179</v>
      </c>
      <c r="B3" s="8" t="str">
        <f>"Nombre maestro "&amp;tDatosMaestros[[#This Row],[NO_CONTROL]]</f>
        <v>Nombre maestro 4179</v>
      </c>
      <c r="C3" s="8" t="s">
        <v>121</v>
      </c>
      <c r="D3" s="1">
        <v>4</v>
      </c>
      <c r="E3" s="1" t="s">
        <v>43</v>
      </c>
      <c r="F3" t="s">
        <v>9</v>
      </c>
      <c r="G3" t="s">
        <v>10</v>
      </c>
      <c r="H3" t="s">
        <v>122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/>
      </c>
      <c r="N3">
        <v>0</v>
      </c>
      <c r="O3">
        <v>11</v>
      </c>
    </row>
    <row r="4" spans="1:15" x14ac:dyDescent="0.25">
      <c r="A4" s="14">
        <v>3010</v>
      </c>
      <c r="B4" s="15" t="str">
        <f>"Nombre maestro "&amp;tDatosMaestros[[#This Row],[NO_CONTROL]]</f>
        <v>Nombre maestro 3010</v>
      </c>
      <c r="C4" s="15" t="s">
        <v>70</v>
      </c>
      <c r="D4" s="14">
        <v>5</v>
      </c>
      <c r="E4" s="14" t="s">
        <v>24</v>
      </c>
      <c r="F4" s="16" t="s">
        <v>9</v>
      </c>
      <c r="G4" s="16" t="s">
        <v>10</v>
      </c>
      <c r="H4" s="16" t="s">
        <v>137</v>
      </c>
      <c r="I4" s="16">
        <v>3</v>
      </c>
      <c r="J4" s="16">
        <v>2</v>
      </c>
      <c r="K4" s="3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MS</v>
      </c>
      <c r="M4" t="str">
        <f>IFERROR( INDEX(LaboratoriosID[ID], MATCH( INDEX(LaboratoriosMaterias[LaboratorioB], MATCH(tDatosMaestros[[#This Row],[ASIGNATURA]],LaboratoriosMaterias[Materia],0)), LaboratoriosID[Laboratorio],0)), "")</f>
        <v>MN</v>
      </c>
      <c r="N4">
        <v>0</v>
      </c>
      <c r="O4">
        <v>10</v>
      </c>
    </row>
    <row r="5" spans="1:15" x14ac:dyDescent="0.25">
      <c r="A5" s="14">
        <v>3010</v>
      </c>
      <c r="B5" s="15" t="str">
        <f>"Nombre maestro "&amp;tDatosMaestros[[#This Row],[NO_CONTROL]]</f>
        <v>Nombre maestro 3010</v>
      </c>
      <c r="C5" s="15" t="s">
        <v>70</v>
      </c>
      <c r="D5" s="14">
        <v>5</v>
      </c>
      <c r="E5" s="14" t="s">
        <v>26</v>
      </c>
      <c r="F5" s="16" t="s">
        <v>9</v>
      </c>
      <c r="G5" s="16" t="s">
        <v>10</v>
      </c>
      <c r="H5" s="16" t="s">
        <v>137</v>
      </c>
      <c r="I5" s="16">
        <v>3</v>
      </c>
      <c r="J5" s="16">
        <v>2</v>
      </c>
      <c r="K5" s="3">
        <f>IF(tDatosMaestros[[#This Row],[TIPO PROFESOR]]="HRS", 3,2)</f>
        <v>3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10</v>
      </c>
    </row>
    <row r="6" spans="1:15" x14ac:dyDescent="0.25">
      <c r="A6" s="14">
        <v>3010</v>
      </c>
      <c r="B6" s="15" t="str">
        <f>"Nombre maestro "&amp;tDatosMaestros[[#This Row],[NO_CONTROL]]</f>
        <v>Nombre maestro 3010</v>
      </c>
      <c r="C6" s="15" t="s">
        <v>71</v>
      </c>
      <c r="D6" s="14">
        <v>4</v>
      </c>
      <c r="E6" s="14" t="s">
        <v>25</v>
      </c>
      <c r="F6" s="16" t="s">
        <v>9</v>
      </c>
      <c r="G6" s="16" t="s">
        <v>10</v>
      </c>
      <c r="H6" s="16" t="s">
        <v>138</v>
      </c>
      <c r="I6" s="16">
        <v>2</v>
      </c>
      <c r="J6" s="16">
        <v>2</v>
      </c>
      <c r="K6" s="3">
        <f>IF(tDatosMaestros[[#This Row],[TIPO PROFESOR]]="HRS", 3,2)</f>
        <v>3</v>
      </c>
      <c r="L6" t="str">
        <f>IFERROR( INDEX(LaboratoriosID[ID], MATCH( INDEX(LaboratoriosMaterias[Laboratorio], MATCH(tDatosMaestros[[#This Row],[ASIGNATURA]],LaboratoriosMaterias[Materia],0)), LaboratoriosID[Laboratorio],0)), "")</f>
        <v>MS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10</v>
      </c>
    </row>
    <row r="7" spans="1:15" x14ac:dyDescent="0.25">
      <c r="A7" s="14">
        <v>3010</v>
      </c>
      <c r="B7" s="15" t="str">
        <f>"Nombre maestro "&amp;tDatosMaestros[[#This Row],[NO_CONTROL]]</f>
        <v>Nombre maestro 3010</v>
      </c>
      <c r="C7" s="15" t="s">
        <v>72</v>
      </c>
      <c r="D7" s="14">
        <v>4</v>
      </c>
      <c r="E7" s="14" t="s">
        <v>25</v>
      </c>
      <c r="F7" s="16" t="s">
        <v>9</v>
      </c>
      <c r="G7" s="16" t="s">
        <v>10</v>
      </c>
      <c r="H7" s="16" t="s">
        <v>139</v>
      </c>
      <c r="I7" s="16">
        <v>2</v>
      </c>
      <c r="J7" s="16">
        <v>2</v>
      </c>
      <c r="K7" s="3">
        <f>IF(tDatosMaestros[[#This Row],[TIPO PROFESOR]]="HRS", 3,2)</f>
        <v>3</v>
      </c>
      <c r="L7" t="str">
        <f>IFERROR( INDEX(LaboratoriosID[ID], MATCH( INDEX(LaboratoriosMaterias[Laboratorio], MATCH(tDatosMaestros[[#This Row],[ASIGNATURA]],LaboratoriosMaterias[Materia],0)), LaboratoriosID[Laboratorio],0)), "")</f>
        <v>MS</v>
      </c>
      <c r="M7" t="str">
        <f>IFERROR( INDEX(LaboratoriosID[ID], MATCH( INDEX(LaboratoriosMaterias[LaboratorioB], MATCH(tDatosMaestros[[#This Row],[ASIGNATURA]],LaboratoriosMaterias[Materia],0)), LaboratoriosID[Laboratorio],0)), "")</f>
        <v/>
      </c>
      <c r="N7">
        <v>0</v>
      </c>
      <c r="O7">
        <v>10</v>
      </c>
    </row>
    <row r="8" spans="1:15" x14ac:dyDescent="0.25">
      <c r="A8" s="2">
        <v>5707</v>
      </c>
      <c r="B8" s="9" t="str">
        <f>"Nombre maestro "&amp;tDatosMaestros[[#This Row],[NO_CONTROL]]</f>
        <v>Nombre maestro 5707</v>
      </c>
      <c r="C8" s="9" t="s">
        <v>59</v>
      </c>
      <c r="D8" s="2">
        <v>5</v>
      </c>
      <c r="E8" s="2" t="s">
        <v>25</v>
      </c>
      <c r="F8" s="3" t="s">
        <v>9</v>
      </c>
      <c r="G8" s="3" t="s">
        <v>23</v>
      </c>
      <c r="H8" t="s">
        <v>127</v>
      </c>
      <c r="I8">
        <v>3</v>
      </c>
      <c r="J8">
        <v>2</v>
      </c>
      <c r="K8">
        <f>IF(tDatosMaestros[[#This Row],[TIPO PROFESOR]]="HRS", 3,2)</f>
        <v>2</v>
      </c>
      <c r="L8" t="str">
        <f>IFERROR( INDEX(LaboratoriosID[ID], MATCH( INDEX(LaboratoriosMaterias[Laboratorio], MATCH(tDatosMaestros[[#This Row],[ASIGNATURA]],LaboratoriosMaterias[Materia],0)), LaboratoriosID[Laboratorio],0)), "")</f>
        <v>MS</v>
      </c>
      <c r="M8" t="str">
        <f>IFERROR( INDEX(LaboratoriosID[ID], MATCH( INDEX(LaboratoriosMaterias[LaboratorioB], MATCH(tDatosMaestros[[#This Row],[ASIGNATURA]],LaboratoriosMaterias[Materia],0)), LaboratoriosID[Laboratorio],0)), "")</f>
        <v>MN</v>
      </c>
      <c r="N8">
        <v>0</v>
      </c>
      <c r="O8">
        <v>10</v>
      </c>
    </row>
    <row r="9" spans="1:15" x14ac:dyDescent="0.25">
      <c r="A9" s="2">
        <v>5707</v>
      </c>
      <c r="B9" s="9" t="str">
        <f>"Nombre maestro "&amp;tDatosMaestros[[#This Row],[NO_CONTROL]]</f>
        <v>Nombre maestro 5707</v>
      </c>
      <c r="C9" s="9" t="s">
        <v>60</v>
      </c>
      <c r="D9" s="2">
        <v>5</v>
      </c>
      <c r="E9" s="2" t="s">
        <v>24</v>
      </c>
      <c r="F9" s="3" t="s">
        <v>9</v>
      </c>
      <c r="G9" s="3" t="s">
        <v>23</v>
      </c>
      <c r="H9" t="s">
        <v>128</v>
      </c>
      <c r="I9">
        <v>3</v>
      </c>
      <c r="J9">
        <v>2</v>
      </c>
      <c r="K9">
        <f>IF(tDatosMaestros[[#This Row],[TIPO PROFESOR]]="HRS", 3,2)</f>
        <v>2</v>
      </c>
      <c r="L9" t="str">
        <f>IFERROR( INDEX(LaboratoriosID[ID], MATCH( INDEX(LaboratoriosMaterias[Laboratorio], MATCH(tDatosMaestros[[#This Row],[ASIGNATURA]],LaboratoriosMaterias[Materia],0)), LaboratoriosID[Laboratorio],0)), "")</f>
        <v>MS</v>
      </c>
      <c r="M9" t="str">
        <f>IFERROR( INDEX(LaboratoriosID[ID], MATCH( INDEX(LaboratoriosMaterias[LaboratorioB], MATCH(tDatosMaestros[[#This Row],[ASIGNATURA]],LaboratoriosMaterias[Materia],0)), LaboratoriosID[Laboratorio],0)), "")</f>
        <v/>
      </c>
      <c r="N9">
        <v>0</v>
      </c>
      <c r="O9">
        <v>10</v>
      </c>
    </row>
    <row r="10" spans="1:15" x14ac:dyDescent="0.25">
      <c r="A10" s="2">
        <v>5707</v>
      </c>
      <c r="B10" s="9" t="str">
        <f>"Nombre maestro "&amp;tDatosMaestros[[#This Row],[NO_CONTROL]]</f>
        <v>Nombre maestro 5707</v>
      </c>
      <c r="C10" s="9" t="s">
        <v>60</v>
      </c>
      <c r="D10" s="2">
        <v>5</v>
      </c>
      <c r="E10" s="2" t="s">
        <v>26</v>
      </c>
      <c r="F10" s="3" t="s">
        <v>9</v>
      </c>
      <c r="G10" s="3" t="s">
        <v>23</v>
      </c>
      <c r="H10" t="s">
        <v>128</v>
      </c>
      <c r="I10">
        <v>3</v>
      </c>
      <c r="J10">
        <v>2</v>
      </c>
      <c r="K10">
        <f>IF(tDatosMaestros[[#This Row],[TIPO PROFESOR]]="HRS", 3,2)</f>
        <v>2</v>
      </c>
      <c r="L10" t="str">
        <f>IFERROR( INDEX(LaboratoriosID[ID], MATCH( INDEX(LaboratoriosMaterias[Laboratorio], MATCH(tDatosMaestros[[#This Row],[ASIGNATURA]],LaboratoriosMaterias[Materia],0)), LaboratoriosID[Laboratorio],0)), "")</f>
        <v>MS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</row>
    <row r="11" spans="1:15" x14ac:dyDescent="0.25">
      <c r="A11" s="1">
        <v>194</v>
      </c>
      <c r="B11" s="8" t="str">
        <f>"Nombre maestro "&amp;tDatosMaestros[[#This Row],[NO_CONTROL]]</f>
        <v>Nombre maestro 194</v>
      </c>
      <c r="C11" s="8" t="s">
        <v>39</v>
      </c>
      <c r="D11" s="1">
        <v>4</v>
      </c>
      <c r="E11" s="1" t="s">
        <v>33</v>
      </c>
      <c r="F11" t="s">
        <v>9</v>
      </c>
      <c r="G11" t="s">
        <v>10</v>
      </c>
      <c r="H11" t="s">
        <v>106</v>
      </c>
      <c r="I11">
        <v>2</v>
      </c>
      <c r="J11">
        <v>2</v>
      </c>
      <c r="K11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MN</v>
      </c>
      <c r="M11" t="str">
        <f>IFERROR( INDEX(LaboratoriosID[ID], MATCH( INDEX(LaboratoriosMaterias[LaboratorioB], MATCH(tDatosMaestros[[#This Row],[ASIGNATURA]],LaboratoriosMaterias[Materia],0)), LaboratoriosID[Laboratorio],0)), "")</f>
        <v>MS</v>
      </c>
      <c r="N11">
        <v>0</v>
      </c>
      <c r="O11">
        <v>10</v>
      </c>
    </row>
    <row r="12" spans="1:15" x14ac:dyDescent="0.25">
      <c r="A12" s="1">
        <v>194</v>
      </c>
      <c r="B12" s="8" t="str">
        <f>"Nombre maestro "&amp;tDatosMaestros[[#This Row],[NO_CONTROL]]</f>
        <v>Nombre maestro 194</v>
      </c>
      <c r="C12" s="8" t="s">
        <v>64</v>
      </c>
      <c r="D12" s="1">
        <v>5</v>
      </c>
      <c r="E12" s="1" t="s">
        <v>32</v>
      </c>
      <c r="F12" t="s">
        <v>9</v>
      </c>
      <c r="G12" t="s">
        <v>10</v>
      </c>
      <c r="H12" t="s">
        <v>107</v>
      </c>
      <c r="I12">
        <v>3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>MS</v>
      </c>
      <c r="N12">
        <v>0</v>
      </c>
      <c r="O12">
        <v>10</v>
      </c>
    </row>
    <row r="13" spans="1:15" x14ac:dyDescent="0.25">
      <c r="A13" s="1">
        <v>194</v>
      </c>
      <c r="B13" s="8" t="str">
        <f>"Nombre maestro "&amp;tDatosMaestros[[#This Row],[NO_CONTROL]]</f>
        <v>Nombre maestro 194</v>
      </c>
      <c r="C13" s="8" t="s">
        <v>40</v>
      </c>
      <c r="D13" s="1">
        <v>4</v>
      </c>
      <c r="E13" s="1" t="s">
        <v>33</v>
      </c>
      <c r="F13" t="s">
        <v>9</v>
      </c>
      <c r="G13" t="s">
        <v>10</v>
      </c>
      <c r="H13" t="s">
        <v>108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>MS</v>
      </c>
      <c r="N13">
        <v>0</v>
      </c>
      <c r="O13">
        <v>10</v>
      </c>
    </row>
    <row r="14" spans="1:15" x14ac:dyDescent="0.25">
      <c r="A14" s="1">
        <v>194</v>
      </c>
      <c r="B14" s="8" t="str">
        <f>"Nombre maestro "&amp;tDatosMaestros[[#This Row],[NO_CONTROL]]</f>
        <v>Nombre maestro 194</v>
      </c>
      <c r="C14" s="8" t="s">
        <v>41</v>
      </c>
      <c r="D14" s="1">
        <v>4</v>
      </c>
      <c r="E14" s="1" t="s">
        <v>34</v>
      </c>
      <c r="F14" t="s">
        <v>9</v>
      </c>
      <c r="G14" t="s">
        <v>10</v>
      </c>
      <c r="H14" t="s">
        <v>109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</row>
    <row r="15" spans="1:15" x14ac:dyDescent="0.25">
      <c r="A15" s="1">
        <v>1017</v>
      </c>
      <c r="B15" s="8" t="str">
        <f>"Nombre maestro "&amp;tDatosMaestros[[#This Row],[NO_CONTROL]]</f>
        <v>Nombre maestro 1017</v>
      </c>
      <c r="C15" s="8" t="s">
        <v>121</v>
      </c>
      <c r="D15" s="1">
        <v>4</v>
      </c>
      <c r="E15" s="1" t="s">
        <v>12</v>
      </c>
      <c r="F15" t="s">
        <v>9</v>
      </c>
      <c r="G15" t="s">
        <v>10</v>
      </c>
      <c r="H15" t="s">
        <v>122</v>
      </c>
      <c r="I15">
        <v>2</v>
      </c>
      <c r="J15">
        <v>2</v>
      </c>
      <c r="K15">
        <f>IF(tDatosMaestros[[#This Row],[TIPO PROFESOR]]="HRS", 3,2)</f>
        <v>3</v>
      </c>
      <c r="L15" t="str">
        <f>IFERROR( INDEX(LaboratoriosID[ID], MATCH( INDEX(LaboratoriosMaterias[Laboratorio], MATCH(tDatosMaestros[[#This Row],[ASIGNATURA]],LaboratoriosMaterias[Materia],0)), LaboratoriosID[Laboratorio],0)), "")</f>
        <v>MN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</row>
    <row r="16" spans="1:15" x14ac:dyDescent="0.25">
      <c r="A16" s="1">
        <v>1230</v>
      </c>
      <c r="B16" s="8" t="str">
        <f>"Nombre maestro "&amp;tDatosMaestros[[#This Row],[NO_CONTROL]]</f>
        <v>Nombre maestro 1230</v>
      </c>
      <c r="C16" s="8" t="s">
        <v>41</v>
      </c>
      <c r="D16" s="1">
        <v>4</v>
      </c>
      <c r="E16" s="1" t="s">
        <v>32</v>
      </c>
      <c r="F16" t="s">
        <v>9</v>
      </c>
      <c r="G16" t="s">
        <v>10</v>
      </c>
      <c r="H16" t="s">
        <v>109</v>
      </c>
      <c r="I16">
        <v>2</v>
      </c>
      <c r="J16">
        <v>2</v>
      </c>
      <c r="K16">
        <f>IF(tDatosMaestros[[#This Row],[TIPO PROFESOR]]="HRS", 3,2)</f>
        <v>3</v>
      </c>
      <c r="L16" t="str">
        <f>IFERROR( INDEX(LaboratoriosID[ID], MATCH( INDEX(LaboratoriosMaterias[Laboratorio], MATCH(tDatosMaestros[[#This Row],[ASIGNATURA]],LaboratoriosMaterias[Materia],0)), LaboratoriosID[Laboratorio],0)), "")</f>
        <v>MN</v>
      </c>
      <c r="M16" t="str">
        <f>IFERROR( INDEX(LaboratoriosID[ID], MATCH( INDEX(LaboratoriosMaterias[LaboratorioB], MATCH(tDatosMaestros[[#This Row],[ASIGNATURA]],LaboratoriosMaterias[Materia],0)), LaboratoriosID[Laboratorio],0)), "")</f>
        <v>MS</v>
      </c>
      <c r="N16">
        <v>0</v>
      </c>
      <c r="O16">
        <v>10</v>
      </c>
    </row>
    <row r="17" spans="1:15" x14ac:dyDescent="0.25">
      <c r="A17" s="1">
        <v>1230</v>
      </c>
      <c r="B17" s="8" t="str">
        <f>"Nombre maestro "&amp;tDatosMaestros[[#This Row],[NO_CONTROL]]</f>
        <v>Nombre maestro 1230</v>
      </c>
      <c r="C17" s="8" t="s">
        <v>64</v>
      </c>
      <c r="D17" s="1">
        <v>5</v>
      </c>
      <c r="E17" s="1" t="s">
        <v>34</v>
      </c>
      <c r="F17" t="s">
        <v>9</v>
      </c>
      <c r="G17" t="s">
        <v>10</v>
      </c>
      <c r="H17" t="s">
        <v>107</v>
      </c>
      <c r="I17">
        <v>3</v>
      </c>
      <c r="J17">
        <v>2</v>
      </c>
      <c r="K17">
        <f>IF(tDatosMaestros[[#This Row],[TIPO PROFESOR]]="HRS", 3,2)</f>
        <v>3</v>
      </c>
      <c r="L17" t="str">
        <f>IFERROR( INDEX(LaboratoriosID[ID], MATCH( INDEX(LaboratoriosMaterias[Laboratorio], MATCH(tDatosMaestros[[#This Row],[ASIGNATURA]],LaboratoriosMaterias[Materia],0)), LaboratoriosID[Laboratorio],0)), "")</f>
        <v>MN</v>
      </c>
      <c r="M17" t="str">
        <f>IFERROR( INDEX(LaboratoriosID[ID], MATCH( INDEX(LaboratoriosMaterias[LaboratorioB], MATCH(tDatosMaestros[[#This Row],[ASIGNATURA]],LaboratoriosMaterias[Materia],0)), LaboratoriosID[Laboratorio],0)), "")</f>
        <v>MS</v>
      </c>
      <c r="N17">
        <v>0</v>
      </c>
      <c r="O17">
        <v>10</v>
      </c>
    </row>
    <row r="18" spans="1:15" x14ac:dyDescent="0.25">
      <c r="A18" s="14">
        <v>3010</v>
      </c>
      <c r="B18" s="15" t="str">
        <f>"Nombre maestro "&amp;tDatosMaestros[[#This Row],[NO_CONTROL]]</f>
        <v>Nombre maestro 3010</v>
      </c>
      <c r="C18" s="15" t="s">
        <v>121</v>
      </c>
      <c r="D18" s="14">
        <v>4</v>
      </c>
      <c r="E18" s="14" t="s">
        <v>8</v>
      </c>
      <c r="F18" s="16" t="s">
        <v>9</v>
      </c>
      <c r="G18" s="16" t="s">
        <v>10</v>
      </c>
      <c r="H18" s="16" t="s">
        <v>122</v>
      </c>
      <c r="I18" s="16">
        <v>2</v>
      </c>
      <c r="J18" s="16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</row>
    <row r="19" spans="1:15" x14ac:dyDescent="0.25">
      <c r="A19" s="1">
        <v>4179</v>
      </c>
      <c r="B19" s="8" t="str">
        <f>"Nombre maestro "&amp;tDatosMaestros[[#This Row],[NO_CONTROL]]</f>
        <v>Nombre maestro 4179</v>
      </c>
      <c r="C19" s="8" t="s">
        <v>121</v>
      </c>
      <c r="D19" s="1">
        <v>4</v>
      </c>
      <c r="E19" s="1" t="s">
        <v>30</v>
      </c>
      <c r="F19" t="s">
        <v>9</v>
      </c>
      <c r="G19" t="s">
        <v>10</v>
      </c>
      <c r="H19" t="s">
        <v>122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/>
      </c>
      <c r="N19">
        <v>0</v>
      </c>
      <c r="O19">
        <v>10</v>
      </c>
    </row>
    <row r="20" spans="1:15" x14ac:dyDescent="0.25">
      <c r="A20" s="1">
        <v>4179</v>
      </c>
      <c r="B20" s="8" t="str">
        <f>"Nombre maestro "&amp;tDatosMaestros[[#This Row],[NO_CONTROL]]</f>
        <v>Nombre maestro 4179</v>
      </c>
      <c r="C20" s="8" t="s">
        <v>121</v>
      </c>
      <c r="D20" s="1">
        <v>4</v>
      </c>
      <c r="E20" s="1" t="s">
        <v>20</v>
      </c>
      <c r="F20" t="s">
        <v>9</v>
      </c>
      <c r="G20" t="s">
        <v>10</v>
      </c>
      <c r="H20" t="s">
        <v>122</v>
      </c>
      <c r="I20">
        <v>2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/>
      </c>
      <c r="N20">
        <v>0</v>
      </c>
      <c r="O20">
        <v>10</v>
      </c>
    </row>
    <row r="21" spans="1:15" x14ac:dyDescent="0.25">
      <c r="A21" s="1">
        <v>4179</v>
      </c>
      <c r="B21" s="8" t="str">
        <f>"Nombre maestro "&amp;tDatosMaestros[[#This Row],[NO_CONTROL]]</f>
        <v>Nombre maestro 4179</v>
      </c>
      <c r="C21" s="8" t="s">
        <v>121</v>
      </c>
      <c r="D21" s="1">
        <v>4</v>
      </c>
      <c r="E21" s="1" t="s">
        <v>16</v>
      </c>
      <c r="F21" t="s">
        <v>9</v>
      </c>
      <c r="G21" t="s">
        <v>10</v>
      </c>
      <c r="H21" t="s">
        <v>122</v>
      </c>
      <c r="I21">
        <v>2</v>
      </c>
      <c r="J21">
        <v>2</v>
      </c>
      <c r="K21">
        <f>IF(tDatosMaestros[[#This Row],[TIPO PROFESOR]]="HRS", 3,2)</f>
        <v>3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/>
      </c>
      <c r="N21">
        <v>0</v>
      </c>
      <c r="O21">
        <v>10</v>
      </c>
    </row>
    <row r="22" spans="1:15" x14ac:dyDescent="0.25">
      <c r="A22" s="1">
        <v>4179</v>
      </c>
      <c r="B22" s="8" t="str">
        <f>"Nombre maestro "&amp;tDatosMaestros[[#This Row],[NO_CONTROL]]</f>
        <v>Nombre maestro 4179</v>
      </c>
      <c r="C22" s="8" t="s">
        <v>121</v>
      </c>
      <c r="D22" s="1">
        <v>4</v>
      </c>
      <c r="E22" s="1" t="s">
        <v>17</v>
      </c>
      <c r="F22" t="s">
        <v>9</v>
      </c>
      <c r="G22" t="s">
        <v>10</v>
      </c>
      <c r="H22" t="s">
        <v>122</v>
      </c>
      <c r="I22">
        <v>2</v>
      </c>
      <c r="J22">
        <v>2</v>
      </c>
      <c r="K22">
        <f>IF(tDatosMaestros[[#This Row],[TIPO PROFESOR]]="HRS", 3,2)</f>
        <v>3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/>
      </c>
      <c r="N22">
        <v>0</v>
      </c>
      <c r="O22">
        <v>10</v>
      </c>
    </row>
    <row r="23" spans="1:15" x14ac:dyDescent="0.25">
      <c r="A23" s="1">
        <v>4179</v>
      </c>
      <c r="B23" s="8" t="str">
        <f>"Nombre maestro "&amp;tDatosMaestros[[#This Row],[NO_CONTROL]]</f>
        <v>Nombre maestro 4179</v>
      </c>
      <c r="C23" s="8" t="s">
        <v>121</v>
      </c>
      <c r="D23" s="1">
        <v>4</v>
      </c>
      <c r="E23" s="1" t="s">
        <v>18</v>
      </c>
      <c r="F23" t="s">
        <v>9</v>
      </c>
      <c r="G23" t="s">
        <v>10</v>
      </c>
      <c r="H23" t="s">
        <v>122</v>
      </c>
      <c r="I23">
        <v>2</v>
      </c>
      <c r="J23">
        <v>2</v>
      </c>
      <c r="K23">
        <f>IF(tDatosMaestros[[#This Row],[TIPO PROFESOR]]="HRS", 3,2)</f>
        <v>3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/>
      </c>
      <c r="N23">
        <v>0</v>
      </c>
      <c r="O23">
        <v>10</v>
      </c>
    </row>
    <row r="24" spans="1:15" x14ac:dyDescent="0.25">
      <c r="A24" s="1">
        <v>4179</v>
      </c>
      <c r="B24" s="8" t="str">
        <f>"Nombre maestro "&amp;tDatosMaestros[[#This Row],[NO_CONTROL]]</f>
        <v>Nombre maestro 4179</v>
      </c>
      <c r="C24" s="8" t="s">
        <v>56</v>
      </c>
      <c r="D24" s="1">
        <v>4</v>
      </c>
      <c r="E24" s="1" t="s">
        <v>24</v>
      </c>
      <c r="F24" t="s">
        <v>9</v>
      </c>
      <c r="G24" t="s">
        <v>10</v>
      </c>
      <c r="H24" t="s">
        <v>124</v>
      </c>
      <c r="I24">
        <v>2</v>
      </c>
      <c r="J24">
        <v>2</v>
      </c>
      <c r="K24">
        <f>IF(tDatosMaestros[[#This Row],[TIPO PROFESOR]]="HRS", 3,2)</f>
        <v>3</v>
      </c>
      <c r="L24" t="str">
        <f>IFERROR( INDEX(LaboratoriosID[ID], MATCH( INDEX(LaboratoriosMaterias[Laboratorio], MATCH(tDatosMaestros[[#This Row],[ASIGNATURA]],LaboratoriosMaterias[Materia],0)), LaboratoriosID[Laboratorio],0)), "")</f>
        <v>MN</v>
      </c>
      <c r="M24" t="str">
        <f>IFERROR( INDEX(LaboratoriosID[ID], MATCH( INDEX(LaboratoriosMaterias[LaboratorioB], MATCH(tDatosMaestros[[#This Row],[ASIGNATURA]],LaboratoriosMaterias[Materia],0)), LaboratoriosID[Laboratorio],0)), "")</f>
        <v>MS</v>
      </c>
      <c r="N24">
        <v>0</v>
      </c>
      <c r="O24">
        <v>10</v>
      </c>
    </row>
    <row r="25" spans="1:15" x14ac:dyDescent="0.25">
      <c r="A25" s="2">
        <v>5707</v>
      </c>
      <c r="B25" s="9" t="str">
        <f>"Nombre maestro "&amp;tDatosMaestros[[#This Row],[NO_CONTROL]]</f>
        <v>Nombre maestro 5707</v>
      </c>
      <c r="C25" s="9" t="s">
        <v>58</v>
      </c>
      <c r="D25" s="2">
        <v>5</v>
      </c>
      <c r="E25" s="2" t="s">
        <v>33</v>
      </c>
      <c r="F25" s="3" t="s">
        <v>9</v>
      </c>
      <c r="G25" s="3" t="s">
        <v>23</v>
      </c>
      <c r="H25" t="s">
        <v>126</v>
      </c>
      <c r="I25">
        <v>3</v>
      </c>
      <c r="J25">
        <v>2</v>
      </c>
      <c r="K25">
        <f>IF(tDatosMaestros[[#This Row],[TIPO PROFESOR]]="HRS", 3,2)</f>
        <v>2</v>
      </c>
      <c r="L25" t="str">
        <f>IFERROR( INDEX(LaboratoriosID[ID], MATCH( INDEX(LaboratoriosMaterias[Laboratorio], MATCH(tDatosMaestros[[#This Row],[ASIGNATURA]],LaboratoriosMaterias[Materia],0)), LaboratoriosID[Laboratorio],0)), "")</f>
        <v>MN</v>
      </c>
      <c r="M25" t="str">
        <f>IFERROR( INDEX(LaboratoriosID[ID], MATCH( INDEX(LaboratoriosMaterias[LaboratorioB], MATCH(tDatosMaestros[[#This Row],[ASIGNATURA]],LaboratoriosMaterias[Materia],0)), LaboratoriosID[Laboratorio],0)), "")</f>
        <v>MS</v>
      </c>
      <c r="N25">
        <v>0</v>
      </c>
      <c r="O25">
        <v>10</v>
      </c>
    </row>
    <row r="26" spans="1:15" x14ac:dyDescent="0.25">
      <c r="A26" s="2">
        <v>5707</v>
      </c>
      <c r="B26" s="9" t="str">
        <f>"Nombre maestro "&amp;tDatosMaestros[[#This Row],[NO_CONTROL]]</f>
        <v>Nombre maestro 5707</v>
      </c>
      <c r="C26" s="9" t="s">
        <v>61</v>
      </c>
      <c r="D26" s="2">
        <v>5</v>
      </c>
      <c r="E26" s="2" t="s">
        <v>32</v>
      </c>
      <c r="F26" s="3" t="s">
        <v>9</v>
      </c>
      <c r="G26" s="3" t="s">
        <v>23</v>
      </c>
      <c r="H26" t="s">
        <v>129</v>
      </c>
      <c r="I26">
        <v>3</v>
      </c>
      <c r="J26">
        <v>2</v>
      </c>
      <c r="K26">
        <f>IF(tDatosMaestros[[#This Row],[TIPO PROFESOR]]="HRS", 3,2)</f>
        <v>2</v>
      </c>
      <c r="L26" t="str">
        <f>IFERROR( INDEX(LaboratoriosID[ID], MATCH( INDEX(LaboratoriosMaterias[Laboratorio], MATCH(tDatosMaestros[[#This Row],[ASIGNATURA]],LaboratoriosMaterias[Materia],0)), LaboratoriosID[Laboratorio],0)), "")</f>
        <v>MN</v>
      </c>
      <c r="M26" t="str">
        <f>IFERROR( INDEX(LaboratoriosID[ID], MATCH( INDEX(LaboratoriosMaterias[LaboratorioB], MATCH(tDatosMaestros[[#This Row],[ASIGNATURA]],LaboratoriosMaterias[Materia],0)), LaboratoriosID[Laboratorio],0)), "")</f>
        <v>MS</v>
      </c>
      <c r="N26">
        <v>0</v>
      </c>
      <c r="O26">
        <v>10</v>
      </c>
    </row>
    <row r="27" spans="1:15" x14ac:dyDescent="0.25">
      <c r="A27" s="2">
        <v>5707</v>
      </c>
      <c r="B27" s="9" t="str">
        <f>"Nombre maestro "&amp;tDatosMaestros[[#This Row],[NO_CONTROL]]</f>
        <v>Nombre maestro 5707</v>
      </c>
      <c r="C27" s="9" t="s">
        <v>61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129</v>
      </c>
      <c r="I27">
        <v>3</v>
      </c>
      <c r="J27">
        <v>2</v>
      </c>
      <c r="K27">
        <f>IF(tDatosMaestros[[#This Row],[TIPO PROFESOR]]="HRS", 3,2)</f>
        <v>2</v>
      </c>
      <c r="L27" t="str">
        <f>IFERROR( INDEX(LaboratoriosID[ID], MATCH( INDEX(LaboratoriosMaterias[Laboratorio], MATCH(tDatosMaestros[[#This Row],[ASIGNATURA]],LaboratoriosMaterias[Materia],0)), LaboratoriosID[Laboratorio],0)), "")</f>
        <v>MN</v>
      </c>
      <c r="M27" t="str">
        <f>IFERROR( INDEX(LaboratoriosID[ID], MATCH( INDEX(LaboratoriosMaterias[LaboratorioB], MATCH(tDatosMaestros[[#This Row],[ASIGNATURA]],LaboratoriosMaterias[Materia],0)), LaboratoriosID[Laboratorio],0)), "")</f>
        <v>MS</v>
      </c>
      <c r="N27">
        <v>0</v>
      </c>
      <c r="O27">
        <v>10</v>
      </c>
    </row>
    <row r="28" spans="1:15" x14ac:dyDescent="0.25">
      <c r="A28" s="2">
        <v>1260</v>
      </c>
      <c r="B28" s="9" t="str">
        <f>"Nombre maestro "&amp;tDatosMaestros[[#This Row],[NO_CONTROL]]</f>
        <v>Nombre maestro 1260</v>
      </c>
      <c r="C28" s="9" t="s">
        <v>67</v>
      </c>
      <c r="D28" s="2">
        <v>5</v>
      </c>
      <c r="E28" s="2" t="s">
        <v>31</v>
      </c>
      <c r="F28" s="3" t="s">
        <v>9</v>
      </c>
      <c r="G28" s="3" t="s">
        <v>23</v>
      </c>
      <c r="H28" t="s">
        <v>134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LQ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</row>
    <row r="29" spans="1:15" x14ac:dyDescent="0.25">
      <c r="A29" s="2">
        <v>1260</v>
      </c>
      <c r="B29" s="9" t="str">
        <f>"Nombre maestro "&amp;tDatosMaestros[[#This Row],[NO_CONTROL]]</f>
        <v>Nombre maestro 1260</v>
      </c>
      <c r="C29" s="9" t="s">
        <v>67</v>
      </c>
      <c r="D29" s="2">
        <v>5</v>
      </c>
      <c r="E29" s="2" t="s">
        <v>32</v>
      </c>
      <c r="F29" s="3" t="s">
        <v>9</v>
      </c>
      <c r="G29" s="3" t="s">
        <v>23</v>
      </c>
      <c r="H29" t="s">
        <v>134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LQ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</row>
    <row r="30" spans="1:15" x14ac:dyDescent="0.25">
      <c r="A30" s="2">
        <v>1260</v>
      </c>
      <c r="B30" s="9" t="str">
        <f>"Nombre maestro "&amp;tDatosMaestros[[#This Row],[NO_CONTROL]]</f>
        <v>Nombre maestro 1260</v>
      </c>
      <c r="C30" s="9" t="s">
        <v>67</v>
      </c>
      <c r="D30" s="2">
        <v>5</v>
      </c>
      <c r="E30" s="2" t="s">
        <v>33</v>
      </c>
      <c r="F30" s="3" t="s">
        <v>9</v>
      </c>
      <c r="G30" s="3" t="s">
        <v>23</v>
      </c>
      <c r="H30" t="s">
        <v>134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LQ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</row>
    <row r="31" spans="1:15" x14ac:dyDescent="0.25">
      <c r="A31" s="2">
        <v>1260</v>
      </c>
      <c r="B31" s="9" t="str">
        <f>"Nombre maestro "&amp;tDatosMaestros[[#This Row],[NO_CONTROL]]</f>
        <v>Nombre maestro 1260</v>
      </c>
      <c r="C31" s="9" t="s">
        <v>67</v>
      </c>
      <c r="D31" s="2">
        <v>5</v>
      </c>
      <c r="E31" s="2" t="s">
        <v>34</v>
      </c>
      <c r="F31" s="3" t="s">
        <v>9</v>
      </c>
      <c r="G31" s="3" t="s">
        <v>23</v>
      </c>
      <c r="H31" t="s">
        <v>134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LQ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</row>
    <row r="32" spans="1:15" x14ac:dyDescent="0.25">
      <c r="A32" s="1">
        <v>2593</v>
      </c>
      <c r="B32" s="8" t="str">
        <f>"Nombre maestro "&amp;tDatosMaestros[[#This Row],[NO_CONTROL]]</f>
        <v>Nombre maestro 2593</v>
      </c>
      <c r="C32" s="8" t="s">
        <v>15</v>
      </c>
      <c r="D32" s="1">
        <v>5</v>
      </c>
      <c r="E32" s="1" t="s">
        <v>12</v>
      </c>
      <c r="F32" t="s">
        <v>9</v>
      </c>
      <c r="G32" t="s">
        <v>10</v>
      </c>
      <c r="H32" t="s">
        <v>101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LQ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</row>
    <row r="33" spans="1:15" x14ac:dyDescent="0.25">
      <c r="A33" s="1">
        <v>2593</v>
      </c>
      <c r="B33" s="8" t="str">
        <f>"Nombre maestro "&amp;tDatosMaestros[[#This Row],[NO_CONTROL]]</f>
        <v>Nombre maestro 2593</v>
      </c>
      <c r="C33" s="8" t="s">
        <v>15</v>
      </c>
      <c r="D33" s="1">
        <v>5</v>
      </c>
      <c r="E33" s="1" t="s">
        <v>16</v>
      </c>
      <c r="F33" t="s">
        <v>9</v>
      </c>
      <c r="G33" t="s">
        <v>10</v>
      </c>
      <c r="H33" t="s">
        <v>101</v>
      </c>
      <c r="I33">
        <v>3</v>
      </c>
      <c r="J33">
        <v>2</v>
      </c>
      <c r="K33">
        <f>IF(tDatosMaestros[[#This Row],[TIPO PROFESOR]]="HRS", 3,2)</f>
        <v>3</v>
      </c>
      <c r="L33" t="str">
        <f>IFERROR( INDEX(LaboratoriosID[ID], MATCH( INDEX(LaboratoriosMaterias[Laboratorio], MATCH(tDatosMaestros[[#This Row],[ASIGNATURA]],LaboratoriosMaterias[Materia],0)), LaboratoriosID[Laboratorio],0)), "")</f>
        <v>LQ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</row>
    <row r="34" spans="1:15" x14ac:dyDescent="0.25">
      <c r="A34" s="1">
        <v>2593</v>
      </c>
      <c r="B34" s="8" t="str">
        <f>"Nombre maestro "&amp;tDatosMaestros[[#This Row],[NO_CONTROL]]</f>
        <v>Nombre maestro 2593</v>
      </c>
      <c r="C34" s="8" t="s">
        <v>15</v>
      </c>
      <c r="D34" s="1">
        <v>5</v>
      </c>
      <c r="E34" s="1" t="s">
        <v>17</v>
      </c>
      <c r="F34" t="s">
        <v>9</v>
      </c>
      <c r="G34" t="s">
        <v>10</v>
      </c>
      <c r="H34" t="s">
        <v>101</v>
      </c>
      <c r="I34">
        <v>3</v>
      </c>
      <c r="J34">
        <v>2</v>
      </c>
      <c r="K34">
        <f>IF(tDatosMaestros[[#This Row],[TIPO PROFESOR]]="HRS", 3,2)</f>
        <v>3</v>
      </c>
      <c r="L34" t="str">
        <f>IFERROR( INDEX(LaboratoriosID[ID], MATCH( INDEX(LaboratoriosMaterias[Laboratorio], MATCH(tDatosMaestros[[#This Row],[ASIGNATURA]],LaboratoriosMaterias[Materia],0)), LaboratoriosID[Laboratorio],0)), "")</f>
        <v>LQ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</row>
    <row r="35" spans="1:15" x14ac:dyDescent="0.25">
      <c r="A35" s="1">
        <v>2593</v>
      </c>
      <c r="B35" s="8" t="str">
        <f>"Nombre maestro "&amp;tDatosMaestros[[#This Row],[NO_CONTROL]]</f>
        <v>Nombre maestro 2593</v>
      </c>
      <c r="C35" s="8" t="s">
        <v>15</v>
      </c>
      <c r="D35" s="1">
        <v>5</v>
      </c>
      <c r="E35" s="1" t="s">
        <v>18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</row>
    <row r="36" spans="1:15" x14ac:dyDescent="0.25">
      <c r="A36" s="2">
        <v>76</v>
      </c>
      <c r="B36" s="9" t="str">
        <f>"Nombre maestro "&amp;tDatosMaestros[[#This Row],[NO_CONTROL]]</f>
        <v>Nombre maestro 76</v>
      </c>
      <c r="C36" s="9" t="s">
        <v>21</v>
      </c>
      <c r="D36" s="2">
        <v>5</v>
      </c>
      <c r="E36" s="2" t="s">
        <v>22</v>
      </c>
      <c r="F36" s="3" t="s">
        <v>9</v>
      </c>
      <c r="G36" s="3" t="s">
        <v>23</v>
      </c>
      <c r="H36" t="s">
        <v>103</v>
      </c>
      <c r="I36">
        <v>3</v>
      </c>
      <c r="J36">
        <v>2</v>
      </c>
      <c r="K36">
        <f>IF(tDatosMaestros[[#This Row],[TIPO PROFESOR]]="HRS", 3,2)</f>
        <v>2</v>
      </c>
      <c r="L36" t="str">
        <f>IFERROR( INDEX(LaboratoriosID[ID], MATCH( INDEX(LaboratoriosMaterias[Laboratorio], MATCH(tDatosMaestros[[#This Row],[ASIGNATURA]],LaboratoriosMaterias[Materia],0)), LaboratoriosID[Laboratorio],0)), "")</f>
        <v>LF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</row>
    <row r="37" spans="1:15" x14ac:dyDescent="0.25">
      <c r="A37" s="2">
        <v>76</v>
      </c>
      <c r="B37" s="9" t="str">
        <f>"Nombre maestro "&amp;tDatosMaestros[[#This Row],[NO_CONTROL]]</f>
        <v>Nombre maestro 76</v>
      </c>
      <c r="C37" s="9" t="s">
        <v>21</v>
      </c>
      <c r="D37" s="2">
        <v>5</v>
      </c>
      <c r="E37" s="2" t="s">
        <v>24</v>
      </c>
      <c r="F37" s="3" t="s">
        <v>9</v>
      </c>
      <c r="G37" s="3" t="s">
        <v>23</v>
      </c>
      <c r="H37" t="s">
        <v>103</v>
      </c>
      <c r="I37">
        <v>3</v>
      </c>
      <c r="J37">
        <v>2</v>
      </c>
      <c r="K37">
        <f>IF(tDatosMaestros[[#This Row],[TIPO PROFESOR]]="HRS", 3,2)</f>
        <v>2</v>
      </c>
      <c r="L37" t="str">
        <f>IFERROR( INDEX(LaboratoriosID[ID], MATCH( INDEX(LaboratoriosMaterias[Laboratorio], MATCH(tDatosMaestros[[#This Row],[ASIGNATURA]],LaboratoriosMaterias[Materia],0)), LaboratoriosID[Laboratorio],0)), "")</f>
        <v>LF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</row>
    <row r="38" spans="1:15" x14ac:dyDescent="0.25">
      <c r="A38" s="2">
        <v>76</v>
      </c>
      <c r="B38" s="9" t="str">
        <f>"Nombre maestro "&amp;tDatosMaestros[[#This Row],[NO_CONTROL]]</f>
        <v>Nombre maestro 76</v>
      </c>
      <c r="C38" s="9" t="s">
        <v>21</v>
      </c>
      <c r="D38" s="2">
        <v>5</v>
      </c>
      <c r="E38" s="2" t="s">
        <v>25</v>
      </c>
      <c r="F38" s="3" t="s">
        <v>9</v>
      </c>
      <c r="G38" s="3" t="s">
        <v>23</v>
      </c>
      <c r="H38" t="s">
        <v>103</v>
      </c>
      <c r="I38">
        <v>3</v>
      </c>
      <c r="J38">
        <v>2</v>
      </c>
      <c r="K38">
        <f>IF(tDatosMaestros[[#This Row],[TIPO PROFESOR]]="HRS", 3,2)</f>
        <v>2</v>
      </c>
      <c r="L38" t="str">
        <f>IFERROR( INDEX(LaboratoriosID[ID], MATCH( INDEX(LaboratoriosMaterias[Laboratorio], MATCH(tDatosMaestros[[#This Row],[ASIGNATURA]],LaboratoriosMaterias[Materia],0)), LaboratoriosID[Laboratorio],0)), "")</f>
        <v>LF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</row>
    <row r="39" spans="1:15" x14ac:dyDescent="0.25">
      <c r="A39" s="2">
        <v>76</v>
      </c>
      <c r="B39" s="9" t="str">
        <f>"Nombre maestro "&amp;tDatosMaestros[[#This Row],[NO_CONTROL]]</f>
        <v>Nombre maestro 76</v>
      </c>
      <c r="C39" s="9" t="s">
        <v>21</v>
      </c>
      <c r="D39" s="2">
        <v>5</v>
      </c>
      <c r="E39" s="2" t="s">
        <v>26</v>
      </c>
      <c r="F39" s="3" t="s">
        <v>9</v>
      </c>
      <c r="G39" s="3" t="s">
        <v>23</v>
      </c>
      <c r="H39" t="s">
        <v>103</v>
      </c>
      <c r="I39">
        <v>3</v>
      </c>
      <c r="J39">
        <v>2</v>
      </c>
      <c r="K39">
        <f>IF(tDatosMaestros[[#This Row],[TIPO PROFESOR]]="HRS", 3,2)</f>
        <v>2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</row>
    <row r="40" spans="1:15" x14ac:dyDescent="0.25">
      <c r="A40" s="1">
        <v>839</v>
      </c>
      <c r="B40" s="8" t="str">
        <f>"Nombre maestro "&amp;tDatosMaestros[[#This Row],[NO_CONTROL]]</f>
        <v>Nombre maestro 839</v>
      </c>
      <c r="C40" s="8" t="s">
        <v>51</v>
      </c>
      <c r="D40" s="1">
        <v>5</v>
      </c>
      <c r="E40" s="1" t="s">
        <v>31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</row>
    <row r="41" spans="1:15" x14ac:dyDescent="0.25">
      <c r="A41" s="1">
        <v>839</v>
      </c>
      <c r="B41" s="8" t="str">
        <f>"Nombre maestro "&amp;tDatosMaestros[[#This Row],[NO_CONTROL]]</f>
        <v>Nombre maestro 839</v>
      </c>
      <c r="C41" s="8" t="s">
        <v>51</v>
      </c>
      <c r="D41" s="1">
        <v>5</v>
      </c>
      <c r="E41" s="1" t="s">
        <v>33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</row>
    <row r="42" spans="1:15" x14ac:dyDescent="0.25">
      <c r="A42" s="1">
        <v>1017</v>
      </c>
      <c r="B42" s="8" t="str">
        <f>"Nombre maestro "&amp;tDatosMaestros[[#This Row],[NO_CONTROL]]</f>
        <v>Nombre maestro 1017</v>
      </c>
      <c r="C42" s="8" t="s">
        <v>51</v>
      </c>
      <c r="D42" s="1">
        <v>5</v>
      </c>
      <c r="E42" s="1" t="s">
        <v>36</v>
      </c>
      <c r="F42" t="s">
        <v>9</v>
      </c>
      <c r="G42" t="s">
        <v>10</v>
      </c>
      <c r="H42" t="s">
        <v>115</v>
      </c>
      <c r="I42">
        <v>3</v>
      </c>
      <c r="J42">
        <v>2</v>
      </c>
      <c r="K42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LF</v>
      </c>
      <c r="M42" t="str">
        <f>IFERROR( INDEX(LaboratoriosID[ID], MATCH( INDEX(LaboratoriosMaterias[LaboratorioB], MATCH(tDatosMaestros[[#This Row],[ASIGNATURA]],LaboratoriosMaterias[Materia],0)), LaboratoriosID[Laboratorio],0)), "")</f>
        <v/>
      </c>
      <c r="N42">
        <v>0</v>
      </c>
      <c r="O42">
        <v>10</v>
      </c>
    </row>
    <row r="43" spans="1:15" x14ac:dyDescent="0.25">
      <c r="A43" s="1">
        <v>1906</v>
      </c>
      <c r="B43" s="8" t="str">
        <f>"Nombre maestro "&amp;tDatosMaestros[[#This Row],[NO_CONTROL]]</f>
        <v>Nombre maestro 1906</v>
      </c>
      <c r="C43" s="8" t="s">
        <v>51</v>
      </c>
      <c r="D43" s="1">
        <v>5</v>
      </c>
      <c r="E43" s="1" t="s">
        <v>32</v>
      </c>
      <c r="F43" t="s">
        <v>9</v>
      </c>
      <c r="G43" t="s">
        <v>10</v>
      </c>
      <c r="H43" t="s">
        <v>115</v>
      </c>
      <c r="I43">
        <v>3</v>
      </c>
      <c r="J43">
        <v>2</v>
      </c>
      <c r="K4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LF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</row>
    <row r="44" spans="1:15" x14ac:dyDescent="0.25">
      <c r="A44" s="1">
        <v>1906</v>
      </c>
      <c r="B44" s="8" t="str">
        <f>"Nombre maestro "&amp;tDatosMaestros[[#This Row],[NO_CONTROL]]</f>
        <v>Nombre maestro 1906</v>
      </c>
      <c r="C44" s="8" t="s">
        <v>51</v>
      </c>
      <c r="D44" s="1">
        <v>5</v>
      </c>
      <c r="E44" s="1" t="s">
        <v>34</v>
      </c>
      <c r="F44" t="s">
        <v>9</v>
      </c>
      <c r="G44" t="s">
        <v>10</v>
      </c>
      <c r="H44" t="s">
        <v>115</v>
      </c>
      <c r="I44">
        <v>3</v>
      </c>
      <c r="J44">
        <v>2</v>
      </c>
      <c r="K44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LF</v>
      </c>
      <c r="M44" t="str">
        <f>IFERROR( INDEX(LaboratoriosID[ID], MATCH( INDEX(LaboratoriosMaterias[LaboratorioB], MATCH(tDatosMaestros[[#This Row],[ASIGNATURA]],LaboratoriosMaterias[Materia],0)), LaboratoriosID[Laboratorio],0)), "")</f>
        <v/>
      </c>
      <c r="N44">
        <v>0</v>
      </c>
      <c r="O44">
        <v>10</v>
      </c>
    </row>
    <row r="45" spans="1:15" x14ac:dyDescent="0.25">
      <c r="A45" s="1">
        <v>1906</v>
      </c>
      <c r="B45" s="8" t="str">
        <f>"Nombre maestro "&amp;tDatosMaestros[[#This Row],[NO_CONTROL]]</f>
        <v>Nombre maestro 1906</v>
      </c>
      <c r="C45" s="8" t="s">
        <v>51</v>
      </c>
      <c r="D45" s="1">
        <v>5</v>
      </c>
      <c r="E45" s="1" t="s">
        <v>35</v>
      </c>
      <c r="F45" t="s">
        <v>9</v>
      </c>
      <c r="G45" t="s">
        <v>10</v>
      </c>
      <c r="H45" t="s">
        <v>115</v>
      </c>
      <c r="I45">
        <v>3</v>
      </c>
      <c r="J45">
        <v>2</v>
      </c>
      <c r="K45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LF</v>
      </c>
      <c r="M45" t="str">
        <f>IFERROR( INDEX(LaboratoriosID[ID], MATCH( INDEX(LaboratoriosMaterias[LaboratorioB], MATCH(tDatosMaestros[[#This Row],[ASIGNATURA]],LaboratoriosMaterias[Materia],0)), LaboratoriosID[Laboratorio],0)), "")</f>
        <v/>
      </c>
      <c r="N45">
        <v>0</v>
      </c>
      <c r="O45">
        <v>10</v>
      </c>
    </row>
    <row r="46" spans="1:15" x14ac:dyDescent="0.25">
      <c r="A46" s="1">
        <v>4318</v>
      </c>
      <c r="B46" s="8" t="str">
        <f>"Nombre maestro "&amp;tDatosMaestros[[#This Row],[NO_CONTROL]]</f>
        <v>Nombre maestro 4318</v>
      </c>
      <c r="C46" s="8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</row>
    <row r="47" spans="1:15" x14ac:dyDescent="0.25">
      <c r="A47" s="1">
        <v>4318</v>
      </c>
      <c r="B47" s="8" t="str">
        <f>"Nombre maestro "&amp;tDatosMaestros[[#This Row],[NO_CONTROL]]</f>
        <v>Nombre maestro 4318</v>
      </c>
      <c r="C47" s="8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</row>
    <row r="48" spans="1:15" x14ac:dyDescent="0.25">
      <c r="A48" s="2">
        <v>1260</v>
      </c>
      <c r="B48" s="9" t="str">
        <f>"Nombre maestro "&amp;tDatosMaestros[[#This Row],[NO_CONTROL]]</f>
        <v>Nombre maestro 1260</v>
      </c>
      <c r="C48" s="9" t="s">
        <v>62</v>
      </c>
      <c r="D48" s="2">
        <v>5</v>
      </c>
      <c r="E48" s="2" t="s">
        <v>35</v>
      </c>
      <c r="F48" s="3" t="s">
        <v>9</v>
      </c>
      <c r="G48" s="3" t="s">
        <v>23</v>
      </c>
      <c r="H48" t="s">
        <v>130</v>
      </c>
      <c r="I48">
        <v>3</v>
      </c>
      <c r="J48">
        <v>2</v>
      </c>
      <c r="K48">
        <f>IF(tDatosMaestros[[#This Row],[TIPO PROFESOR]]="HRS", 3,2)</f>
        <v>2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</row>
    <row r="49" spans="1:15" x14ac:dyDescent="0.25">
      <c r="A49" s="2">
        <v>1260</v>
      </c>
      <c r="B49" s="9" t="str">
        <f>"Nombre maestro "&amp;tDatosMaestros[[#This Row],[NO_CONTROL]]</f>
        <v>Nombre maestro 1260</v>
      </c>
      <c r="C49" s="9" t="s">
        <v>62</v>
      </c>
      <c r="D49" s="2">
        <v>5</v>
      </c>
      <c r="E49" s="2" t="s">
        <v>36</v>
      </c>
      <c r="F49" s="3" t="s">
        <v>9</v>
      </c>
      <c r="G49" s="3" t="s">
        <v>23</v>
      </c>
      <c r="H49" t="s">
        <v>130</v>
      </c>
      <c r="I49">
        <v>3</v>
      </c>
      <c r="J49">
        <v>2</v>
      </c>
      <c r="K49">
        <f>IF(tDatosMaestros[[#This Row],[TIPO PROFESOR]]="HRS", 3,2)</f>
        <v>2</v>
      </c>
      <c r="L49" t="str">
        <f>IFERROR( INDEX(LaboratoriosID[ID], MATCH( INDEX(LaboratoriosMaterias[Laboratorio], MATCH(tDatosMaestros[[#This Row],[ASIGNATURA]],LaboratoriosMaterias[Materia],0)), LaboratoriosID[Laboratorio],0)), "")</f>
        <v>LB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</row>
    <row r="50" spans="1:15" x14ac:dyDescent="0.25">
      <c r="A50" s="1">
        <v>3686</v>
      </c>
      <c r="B50" s="8" t="str">
        <f>"Nombre maestro "&amp;tDatosMaestros[[#This Row],[NO_CONTROL]]</f>
        <v>Nombre maestro 3686</v>
      </c>
      <c r="C50" s="8" t="s">
        <v>62</v>
      </c>
      <c r="D50" s="1">
        <v>5</v>
      </c>
      <c r="E50" s="1" t="s">
        <v>14</v>
      </c>
      <c r="F50" t="s">
        <v>9</v>
      </c>
      <c r="G50" t="s">
        <v>10</v>
      </c>
      <c r="H50" t="s">
        <v>130</v>
      </c>
      <c r="I50">
        <v>3</v>
      </c>
      <c r="J50">
        <v>2</v>
      </c>
      <c r="K50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LB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</row>
    <row r="51" spans="1:15" x14ac:dyDescent="0.25">
      <c r="A51" s="1">
        <v>4318</v>
      </c>
      <c r="B51" s="8" t="str">
        <f>"Nombre maestro "&amp;tDatosMaestros[[#This Row],[NO_CONTROL]]</f>
        <v>Nombre maestro 4318</v>
      </c>
      <c r="C51" s="8" t="s">
        <v>73</v>
      </c>
      <c r="D51" s="1">
        <v>5</v>
      </c>
      <c r="E51" s="1" t="s">
        <v>37</v>
      </c>
      <c r="F51" t="s">
        <v>9</v>
      </c>
      <c r="G51" t="s">
        <v>10</v>
      </c>
      <c r="H51" t="s">
        <v>140</v>
      </c>
      <c r="I51">
        <v>3</v>
      </c>
      <c r="J51">
        <v>2</v>
      </c>
      <c r="K51" s="3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</row>
    <row r="52" spans="1:15" x14ac:dyDescent="0.25">
      <c r="A52" s="11">
        <v>1017</v>
      </c>
      <c r="B52" s="12" t="str">
        <f>"Nombre maestro "&amp;tDatosMaestros[[#This Row],[NO_CONTROL]]</f>
        <v>Nombre maestro 1017</v>
      </c>
      <c r="C52" s="12" t="s">
        <v>117</v>
      </c>
      <c r="D52" s="11">
        <v>8</v>
      </c>
      <c r="E52" s="11" t="s">
        <v>31</v>
      </c>
      <c r="F52" s="13" t="s">
        <v>9</v>
      </c>
      <c r="G52" s="13" t="s">
        <v>10</v>
      </c>
      <c r="H52" s="13" t="s">
        <v>118</v>
      </c>
      <c r="I52" s="13">
        <v>5</v>
      </c>
      <c r="J52" s="13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</row>
    <row r="53" spans="1:15" x14ac:dyDescent="0.25">
      <c r="A53" s="1">
        <v>1017</v>
      </c>
      <c r="B53" s="8" t="str">
        <f>"Nombre maestro "&amp;tDatosMaestros[[#This Row],[NO_CONTROL]]</f>
        <v>Nombre maestro 1017</v>
      </c>
      <c r="C53" s="8" t="s">
        <v>53</v>
      </c>
      <c r="D53" s="1">
        <v>5</v>
      </c>
      <c r="E53" s="1" t="s">
        <v>22</v>
      </c>
      <c r="F53" t="s">
        <v>9</v>
      </c>
      <c r="G53" t="s">
        <v>10</v>
      </c>
      <c r="H53" t="s">
        <v>119</v>
      </c>
      <c r="I53">
        <v>3</v>
      </c>
      <c r="J53">
        <v>2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</row>
    <row r="54" spans="1:15" x14ac:dyDescent="0.25">
      <c r="A54" s="11">
        <v>1017</v>
      </c>
      <c r="B54" s="12" t="str">
        <f>"Nombre maestro "&amp;tDatosMaestros[[#This Row],[NO_CONTROL]]</f>
        <v>Nombre maestro 1017</v>
      </c>
      <c r="C54" s="12" t="s">
        <v>54</v>
      </c>
      <c r="D54" s="11">
        <v>8</v>
      </c>
      <c r="E54" s="11" t="s">
        <v>22</v>
      </c>
      <c r="F54" s="13" t="s">
        <v>9</v>
      </c>
      <c r="G54" s="13" t="s">
        <v>10</v>
      </c>
      <c r="H54" s="13" t="s">
        <v>120</v>
      </c>
      <c r="I54" s="13">
        <v>5</v>
      </c>
      <c r="J54" s="13">
        <v>3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</row>
    <row r="55" spans="1:15" x14ac:dyDescent="0.25">
      <c r="A55" s="1">
        <v>1230</v>
      </c>
      <c r="B55" s="8" t="str">
        <f>"Nombre maestro "&amp;tDatosMaestros[[#This Row],[NO_CONTROL]]</f>
        <v>Nombre maestro 1230</v>
      </c>
      <c r="C55" s="8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</row>
    <row r="56" spans="1:15" x14ac:dyDescent="0.25">
      <c r="A56" s="2">
        <v>76</v>
      </c>
      <c r="B56" s="9" t="str">
        <f>"Nombre maestro "&amp;tDatosMaestros[[#This Row],[NO_CONTROL]]</f>
        <v>Nombre maestro 76</v>
      </c>
      <c r="C56" s="9" t="s">
        <v>27</v>
      </c>
      <c r="D56" s="2">
        <v>5</v>
      </c>
      <c r="E56" s="2" t="s">
        <v>28</v>
      </c>
      <c r="F56" s="3" t="s">
        <v>9</v>
      </c>
      <c r="G56" s="3" t="s">
        <v>23</v>
      </c>
      <c r="H56" t="s">
        <v>104</v>
      </c>
      <c r="K56">
        <f>IF(tDatosMaestros[[#This Row],[TIPO PROFESOR]]="HRS", 3,2)</f>
        <v>2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</row>
    <row r="57" spans="1:15" x14ac:dyDescent="0.25">
      <c r="A57" s="2">
        <v>76</v>
      </c>
      <c r="B57" s="9" t="str">
        <f>"Nombre maestro "&amp;tDatosMaestros[[#This Row],[NO_CONTROL]]</f>
        <v>Nombre maestro 76</v>
      </c>
      <c r="C57" s="9" t="s">
        <v>27</v>
      </c>
      <c r="D57" s="2">
        <v>5</v>
      </c>
      <c r="E57" s="2" t="s">
        <v>29</v>
      </c>
      <c r="F57" s="3" t="s">
        <v>9</v>
      </c>
      <c r="G57" s="3" t="s">
        <v>23</v>
      </c>
      <c r="H57" t="s">
        <v>104</v>
      </c>
      <c r="K57">
        <f>IF(tDatosMaestros[[#This Row],[TIPO PROFESOR]]="HRS", 3,2)</f>
        <v>2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</row>
    <row r="58" spans="1:15" x14ac:dyDescent="0.25">
      <c r="A58" s="1">
        <v>347</v>
      </c>
      <c r="B58" s="8" t="str">
        <f>"Nombre maestro "&amp;tDatosMaestros[[#This Row],[NO_CONTROL]]</f>
        <v>Nombre maestro 347</v>
      </c>
      <c r="C58" s="8" t="s">
        <v>38</v>
      </c>
      <c r="D58" s="1">
        <v>5</v>
      </c>
      <c r="E58" s="1" t="s">
        <v>31</v>
      </c>
      <c r="F58" t="s">
        <v>9</v>
      </c>
      <c r="G58" t="s">
        <v>10</v>
      </c>
      <c r="H58" t="s">
        <v>105</v>
      </c>
      <c r="K58">
        <f>IF(tDatosMaestros[[#This Row],[TIPO PROFESOR]]="HRS", 3,2)</f>
        <v>3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</row>
    <row r="59" spans="1:15" x14ac:dyDescent="0.25">
      <c r="A59" s="1">
        <v>347</v>
      </c>
      <c r="B59" s="8" t="str">
        <f>"Nombre maestro "&amp;tDatosMaestros[[#This Row],[NO_CONTROL]]</f>
        <v>Nombre maestro 347</v>
      </c>
      <c r="C59" s="8" t="s">
        <v>38</v>
      </c>
      <c r="D59" s="1">
        <v>5</v>
      </c>
      <c r="E59" s="1" t="s">
        <v>32</v>
      </c>
      <c r="F59" t="s">
        <v>9</v>
      </c>
      <c r="G59" t="s">
        <v>10</v>
      </c>
      <c r="H59" t="s">
        <v>105</v>
      </c>
      <c r="K59">
        <f>IF(tDatosMaestros[[#This Row],[TIPO PROFESOR]]="HRS", 3,2)</f>
        <v>3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</row>
    <row r="60" spans="1:15" x14ac:dyDescent="0.25">
      <c r="A60" s="1">
        <v>347</v>
      </c>
      <c r="B60" s="8" t="str">
        <f>"Nombre maestro "&amp;tDatosMaestros[[#This Row],[NO_CONTROL]]</f>
        <v>Nombre maestro 347</v>
      </c>
      <c r="C60" s="8" t="s">
        <v>38</v>
      </c>
      <c r="D60" s="1">
        <v>5</v>
      </c>
      <c r="E60" s="1" t="s">
        <v>33</v>
      </c>
      <c r="F60" t="s">
        <v>9</v>
      </c>
      <c r="G60" t="s">
        <v>10</v>
      </c>
      <c r="H60" t="s">
        <v>105</v>
      </c>
      <c r="K60">
        <f>IF(tDatosMaestros[[#This Row],[TIPO PROFESOR]]="HRS", 3,2)</f>
        <v>3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</row>
    <row r="61" spans="1:15" x14ac:dyDescent="0.25">
      <c r="A61" s="1">
        <v>347</v>
      </c>
      <c r="B61" s="8" t="str">
        <f>"Nombre maestro "&amp;tDatosMaestros[[#This Row],[NO_CONTROL]]</f>
        <v>Nombre maestro 347</v>
      </c>
      <c r="C61" s="8" t="s">
        <v>38</v>
      </c>
      <c r="D61" s="1">
        <v>5</v>
      </c>
      <c r="E61" s="1" t="s">
        <v>34</v>
      </c>
      <c r="F61" t="s">
        <v>9</v>
      </c>
      <c r="G61" t="s">
        <v>10</v>
      </c>
      <c r="H61" t="s">
        <v>105</v>
      </c>
      <c r="K61">
        <f>IF(tDatosMaestros[[#This Row],[TIPO PROFESOR]]="HRS", 3,2)</f>
        <v>3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1</v>
      </c>
      <c r="O61">
        <v>0</v>
      </c>
    </row>
    <row r="62" spans="1:15" x14ac:dyDescent="0.25">
      <c r="A62" s="1">
        <v>439</v>
      </c>
      <c r="B62" s="8" t="str">
        <f>"Nombre maestro "&amp;tDatosMaestros[[#This Row],[NO_CONTROL]]</f>
        <v>Nombre maestro 439</v>
      </c>
      <c r="C62" s="8" t="s">
        <v>45</v>
      </c>
      <c r="D62" s="1">
        <v>4</v>
      </c>
      <c r="E62" s="1" t="s">
        <v>30</v>
      </c>
      <c r="F62" t="s">
        <v>9</v>
      </c>
      <c r="G62" t="s">
        <v>10</v>
      </c>
      <c r="H62" t="s">
        <v>112</v>
      </c>
      <c r="K62">
        <f>IF(tDatosMaestros[[#This Row],[TIPO PROFESOR]]="HRS", 3,2)</f>
        <v>3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</row>
    <row r="63" spans="1:15" x14ac:dyDescent="0.25">
      <c r="A63" s="1">
        <v>1230</v>
      </c>
      <c r="B63" s="8" t="str">
        <f>"Nombre maestro "&amp;tDatosMaestros[[#This Row],[NO_CONTROL]]</f>
        <v>Nombre maestro 1230</v>
      </c>
      <c r="C63" s="8" t="s">
        <v>65</v>
      </c>
      <c r="D63" s="1">
        <v>4</v>
      </c>
      <c r="E63" s="1" t="s">
        <v>22</v>
      </c>
      <c r="F63" t="s">
        <v>9</v>
      </c>
      <c r="G63" t="s">
        <v>10</v>
      </c>
      <c r="H63" t="s">
        <v>132</v>
      </c>
      <c r="K63">
        <f>IF(tDatosMaestros[[#This Row],[TIPO PROFESOR]]="HRS", 3,2)</f>
        <v>3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</row>
    <row r="64" spans="1:15" x14ac:dyDescent="0.25">
      <c r="A64" s="1">
        <v>1230</v>
      </c>
      <c r="B64" s="8" t="str">
        <f>"Nombre maestro "&amp;tDatosMaestros[[#This Row],[NO_CONTROL]]</f>
        <v>Nombre maestro 1230</v>
      </c>
      <c r="C64" s="8" t="s">
        <v>65</v>
      </c>
      <c r="D64" s="1">
        <v>4</v>
      </c>
      <c r="E64" s="1" t="s">
        <v>24</v>
      </c>
      <c r="F64" t="s">
        <v>9</v>
      </c>
      <c r="G64" t="s">
        <v>10</v>
      </c>
      <c r="H64" t="s">
        <v>132</v>
      </c>
      <c r="K64">
        <f>IF(tDatosMaestros[[#This Row],[TIPO PROFESOR]]="HRS", 3,2)</f>
        <v>3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</row>
    <row r="65" spans="1:15" x14ac:dyDescent="0.25">
      <c r="A65" s="1">
        <v>1230</v>
      </c>
      <c r="B65" s="8" t="str">
        <f>"Nombre maestro "&amp;tDatosMaestros[[#This Row],[NO_CONTROL]]</f>
        <v>Nombre maestro 1230</v>
      </c>
      <c r="C65" s="8" t="s">
        <v>65</v>
      </c>
      <c r="D65" s="1">
        <v>4</v>
      </c>
      <c r="E65" s="1" t="s">
        <v>25</v>
      </c>
      <c r="F65" t="s">
        <v>9</v>
      </c>
      <c r="G65" t="s">
        <v>10</v>
      </c>
      <c r="H65" t="s">
        <v>132</v>
      </c>
      <c r="K65">
        <f>IF(tDatosMaestros[[#This Row],[TIPO PROFESOR]]="HRS", 3,2)</f>
        <v>3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</row>
    <row r="66" spans="1:15" x14ac:dyDescent="0.25">
      <c r="A66" s="1">
        <v>1230</v>
      </c>
      <c r="B66" s="8" t="str">
        <f>"Nombre maestro "&amp;tDatosMaestros[[#This Row],[NO_CONTROL]]</f>
        <v>Nombre maestro 1230</v>
      </c>
      <c r="C66" s="8" t="s">
        <v>65</v>
      </c>
      <c r="D66" s="1">
        <v>4</v>
      </c>
      <c r="E66" s="1" t="s">
        <v>26</v>
      </c>
      <c r="F66" t="s">
        <v>9</v>
      </c>
      <c r="G66" t="s">
        <v>10</v>
      </c>
      <c r="H66" t="s">
        <v>132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</row>
    <row r="67" spans="1:15" x14ac:dyDescent="0.25">
      <c r="A67" s="1">
        <v>1374</v>
      </c>
      <c r="B67" s="8" t="str">
        <f>"Nombre maestro "&amp;tDatosMaestros[[#This Row],[NO_CONTROL]]</f>
        <v>Nombre maestro 1374</v>
      </c>
      <c r="C67" s="8" t="s">
        <v>44</v>
      </c>
      <c r="D67" s="1">
        <v>4</v>
      </c>
      <c r="E67" s="1" t="s">
        <v>48</v>
      </c>
      <c r="F67" t="s">
        <v>9</v>
      </c>
      <c r="G67" t="s">
        <v>10</v>
      </c>
      <c r="H67" t="s">
        <v>111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</row>
    <row r="68" spans="1:15" x14ac:dyDescent="0.25">
      <c r="A68" s="1">
        <v>1374</v>
      </c>
      <c r="B68" s="8" t="str">
        <f>"Nombre maestro "&amp;tDatosMaestros[[#This Row],[NO_CONTROL]]</f>
        <v>Nombre maestro 1374</v>
      </c>
      <c r="C68" s="8" t="s">
        <v>57</v>
      </c>
      <c r="D68" s="1">
        <v>4</v>
      </c>
      <c r="E68" s="1" t="s">
        <v>47</v>
      </c>
      <c r="F68" t="s">
        <v>9</v>
      </c>
      <c r="G68" t="s">
        <v>10</v>
      </c>
      <c r="H68" t="s">
        <v>125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</row>
    <row r="69" spans="1:15" x14ac:dyDescent="0.25">
      <c r="A69" s="1">
        <v>1906</v>
      </c>
      <c r="B69" s="8" t="str">
        <f>"Nombre maestro "&amp;tDatosMaestros[[#This Row],[NO_CONTROL]]</f>
        <v>Nombre maestro 1906</v>
      </c>
      <c r="C69" s="8" t="s">
        <v>42</v>
      </c>
      <c r="D69" s="1">
        <v>5</v>
      </c>
      <c r="E69" s="1" t="s">
        <v>17</v>
      </c>
      <c r="F69" t="s">
        <v>9</v>
      </c>
      <c r="G69" t="s">
        <v>10</v>
      </c>
      <c r="H69" t="s">
        <v>110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</row>
    <row r="70" spans="1:15" x14ac:dyDescent="0.25">
      <c r="A70" s="1">
        <v>1906</v>
      </c>
      <c r="B70" s="8" t="str">
        <f>"Nombre maestro "&amp;tDatosMaestros[[#This Row],[NO_CONTROL]]</f>
        <v>Nombre maestro 1906</v>
      </c>
      <c r="C70" s="8" t="s">
        <v>27</v>
      </c>
      <c r="D70" s="1">
        <v>5</v>
      </c>
      <c r="E70" s="1" t="s">
        <v>22</v>
      </c>
      <c r="F70" t="s">
        <v>9</v>
      </c>
      <c r="G70" t="s">
        <v>10</v>
      </c>
      <c r="H70" t="s">
        <v>104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</row>
    <row r="71" spans="1:15" x14ac:dyDescent="0.25">
      <c r="A71" s="1">
        <v>2593</v>
      </c>
      <c r="B71" s="8" t="str">
        <f>"Nombre maestro "&amp;tDatosMaestros[[#This Row],[NO_CONTROL]]</f>
        <v>Nombre maestro 2593</v>
      </c>
      <c r="C71" s="8" t="s">
        <v>19</v>
      </c>
      <c r="D71" s="1">
        <v>4</v>
      </c>
      <c r="E71" s="1" t="s">
        <v>20</v>
      </c>
      <c r="F71" t="s">
        <v>9</v>
      </c>
      <c r="G71" t="s">
        <v>10</v>
      </c>
      <c r="H71" t="s">
        <v>102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</row>
    <row r="72" spans="1:15" x14ac:dyDescent="0.25">
      <c r="A72" s="1">
        <v>2593</v>
      </c>
      <c r="B72" s="8" t="str">
        <f>"Nombre maestro "&amp;tDatosMaestros[[#This Row],[NO_CONTROL]]</f>
        <v>Nombre maestro 2593</v>
      </c>
      <c r="C72" s="8" t="s">
        <v>19</v>
      </c>
      <c r="D72" s="1">
        <v>4</v>
      </c>
      <c r="E72" s="1" t="s">
        <v>16</v>
      </c>
      <c r="F72" t="s">
        <v>9</v>
      </c>
      <c r="G72" t="s">
        <v>10</v>
      </c>
      <c r="H72" t="s">
        <v>102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</row>
    <row r="73" spans="1:15" x14ac:dyDescent="0.25">
      <c r="A73" s="1">
        <v>3686</v>
      </c>
      <c r="B73" s="8" t="str">
        <f>"Nombre maestro "&amp;tDatosMaestros[[#This Row],[NO_CONTROL]]</f>
        <v>Nombre maestro 3686</v>
      </c>
      <c r="C73" s="8" t="s">
        <v>55</v>
      </c>
      <c r="D73" s="1">
        <v>4</v>
      </c>
      <c r="E73" s="1" t="s">
        <v>28</v>
      </c>
      <c r="F73" t="s">
        <v>9</v>
      </c>
      <c r="G73" t="s">
        <v>10</v>
      </c>
      <c r="H73" t="s">
        <v>123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</row>
    <row r="74" spans="1:15" x14ac:dyDescent="0.25">
      <c r="A74" s="1">
        <v>3976</v>
      </c>
      <c r="B74" s="8" t="str">
        <f>"Nombre maestro "&amp;tDatosMaestros[[#This Row],[NO_CONTROL]]</f>
        <v>Nombre maestro 3976</v>
      </c>
      <c r="C74" s="8" t="s">
        <v>44</v>
      </c>
      <c r="D74" s="1">
        <v>4</v>
      </c>
      <c r="E74" s="1" t="s">
        <v>31</v>
      </c>
      <c r="F74" t="s">
        <v>9</v>
      </c>
      <c r="G74" t="s">
        <v>10</v>
      </c>
      <c r="H74" t="s">
        <v>111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</row>
    <row r="75" spans="1:15" x14ac:dyDescent="0.25">
      <c r="A75" s="1">
        <v>3976</v>
      </c>
      <c r="B75" s="8" t="str">
        <f>"Nombre maestro "&amp;tDatosMaestros[[#This Row],[NO_CONTROL]]</f>
        <v>Nombre maestro 3976</v>
      </c>
      <c r="C75" s="8" t="s">
        <v>44</v>
      </c>
      <c r="D75" s="1">
        <v>4</v>
      </c>
      <c r="E75" s="1" t="s">
        <v>32</v>
      </c>
      <c r="F75" t="s">
        <v>9</v>
      </c>
      <c r="G75" t="s">
        <v>10</v>
      </c>
      <c r="H75" t="s">
        <v>111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</row>
    <row r="76" spans="1:15" x14ac:dyDescent="0.25">
      <c r="A76" s="1">
        <v>3976</v>
      </c>
      <c r="B76" s="8" t="str">
        <f>"Nombre maestro "&amp;tDatosMaestros[[#This Row],[NO_CONTROL]]</f>
        <v>Nombre maestro 3976</v>
      </c>
      <c r="C76" s="8" t="s">
        <v>44</v>
      </c>
      <c r="D76" s="1">
        <v>4</v>
      </c>
      <c r="E76" s="1" t="s">
        <v>33</v>
      </c>
      <c r="F76" t="s">
        <v>9</v>
      </c>
      <c r="G76" t="s">
        <v>10</v>
      </c>
      <c r="H76" t="s">
        <v>111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1</v>
      </c>
      <c r="O76">
        <v>0</v>
      </c>
    </row>
    <row r="77" spans="1:15" x14ac:dyDescent="0.25">
      <c r="A77" s="1">
        <v>3976</v>
      </c>
      <c r="B77" s="8" t="str">
        <f>"Nombre maestro "&amp;tDatosMaestros[[#This Row],[NO_CONTROL]]</f>
        <v>Nombre maestro 3976</v>
      </c>
      <c r="C77" s="8" t="s">
        <v>44</v>
      </c>
      <c r="D77" s="1">
        <v>4</v>
      </c>
      <c r="E77" s="1" t="s">
        <v>34</v>
      </c>
      <c r="F77" t="s">
        <v>9</v>
      </c>
      <c r="G77" t="s">
        <v>10</v>
      </c>
      <c r="H77" t="s">
        <v>111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1</v>
      </c>
      <c r="O77">
        <v>0</v>
      </c>
    </row>
    <row r="78" spans="1:15" x14ac:dyDescent="0.25">
      <c r="A78" s="1">
        <v>3976</v>
      </c>
      <c r="B78" s="8" t="str">
        <f>"Nombre maestro "&amp;tDatosMaestros[[#This Row],[NO_CONTROL]]</f>
        <v>Nombre maestro 3976</v>
      </c>
      <c r="C78" s="8" t="s">
        <v>44</v>
      </c>
      <c r="D78" s="1">
        <v>4</v>
      </c>
      <c r="E78" s="1" t="s">
        <v>35</v>
      </c>
      <c r="F78" t="s">
        <v>9</v>
      </c>
      <c r="G78" t="s">
        <v>10</v>
      </c>
      <c r="H78" t="s">
        <v>111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</row>
    <row r="79" spans="1:15" x14ac:dyDescent="0.25">
      <c r="A79" s="1">
        <v>3976</v>
      </c>
      <c r="B79" s="8" t="str">
        <f>"Nombre maestro "&amp;tDatosMaestros[[#This Row],[NO_CONTROL]]</f>
        <v>Nombre maestro 3976</v>
      </c>
      <c r="C79" s="8" t="s">
        <v>44</v>
      </c>
      <c r="D79" s="1">
        <v>4</v>
      </c>
      <c r="E79" s="1" t="s">
        <v>36</v>
      </c>
      <c r="F79" t="s">
        <v>9</v>
      </c>
      <c r="G79" t="s">
        <v>10</v>
      </c>
      <c r="H79" t="s">
        <v>111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</row>
    <row r="80" spans="1:15" x14ac:dyDescent="0.25">
      <c r="A80" s="1">
        <v>3976</v>
      </c>
      <c r="B80" s="8" t="str">
        <f>"Nombre maestro "&amp;tDatosMaestros[[#This Row],[NO_CONTROL]]</f>
        <v>Nombre maestro 3976</v>
      </c>
      <c r="C80" s="8" t="s">
        <v>44</v>
      </c>
      <c r="D80" s="1">
        <v>4</v>
      </c>
      <c r="E80" s="1" t="s">
        <v>37</v>
      </c>
      <c r="F80" t="s">
        <v>9</v>
      </c>
      <c r="G80" t="s">
        <v>10</v>
      </c>
      <c r="H80" t="s">
        <v>111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</row>
    <row r="81" spans="1:15" x14ac:dyDescent="0.25">
      <c r="A81" s="1">
        <v>3976</v>
      </c>
      <c r="B81" s="8" t="str">
        <f>"Nombre maestro "&amp;tDatosMaestros[[#This Row],[NO_CONTROL]]</f>
        <v>Nombre maestro 3976</v>
      </c>
      <c r="C81" s="8" t="s">
        <v>44</v>
      </c>
      <c r="D81" s="1">
        <v>4</v>
      </c>
      <c r="E81" s="1" t="s">
        <v>14</v>
      </c>
      <c r="F81" t="s">
        <v>9</v>
      </c>
      <c r="G81" t="s">
        <v>10</v>
      </c>
      <c r="H81" t="s">
        <v>111</v>
      </c>
      <c r="K81">
        <f>IF(tDatosMaestros[[#This Row],[TIPO PROFESOR]]="HRS", 3,2)</f>
        <v>3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</row>
    <row r="82" spans="1:15" x14ac:dyDescent="0.25">
      <c r="A82" s="1">
        <v>3976</v>
      </c>
      <c r="B82" s="8" t="str">
        <f>"Nombre maestro "&amp;tDatosMaestros[[#This Row],[NO_CONTROL]]</f>
        <v>Nombre maestro 3976</v>
      </c>
      <c r="C82" s="8" t="s">
        <v>57</v>
      </c>
      <c r="D82" s="1">
        <v>4</v>
      </c>
      <c r="E82" s="1" t="s">
        <v>26</v>
      </c>
      <c r="F82" t="s">
        <v>9</v>
      </c>
      <c r="G82" t="s">
        <v>10</v>
      </c>
      <c r="H82" t="s">
        <v>125</v>
      </c>
      <c r="K82">
        <f>IF(tDatosMaestros[[#This Row],[TIPO PROFESOR]]="HRS", 3,2)</f>
        <v>3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3</v>
      </c>
      <c r="O82">
        <v>0</v>
      </c>
    </row>
    <row r="83" spans="1:15" x14ac:dyDescent="0.25">
      <c r="A83" s="1">
        <v>3976</v>
      </c>
      <c r="B83" s="8" t="str">
        <f>"Nombre maestro "&amp;tDatosMaestros[[#This Row],[NO_CONTROL]]</f>
        <v>Nombre maestro 3976</v>
      </c>
      <c r="C83" s="8" t="s">
        <v>57</v>
      </c>
      <c r="D83" s="1">
        <v>4</v>
      </c>
      <c r="E83" s="1" t="s">
        <v>29</v>
      </c>
      <c r="F83" t="s">
        <v>9</v>
      </c>
      <c r="G83" t="s">
        <v>10</v>
      </c>
      <c r="H83" t="s">
        <v>125</v>
      </c>
      <c r="K83">
        <f>IF(tDatosMaestros[[#This Row],[TIPO PROFESOR]]="HRS", 3,2)</f>
        <v>3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1</v>
      </c>
      <c r="O83">
        <v>0</v>
      </c>
    </row>
    <row r="84" spans="1:15" x14ac:dyDescent="0.25">
      <c r="A84" s="2">
        <v>4407</v>
      </c>
      <c r="B84" s="9" t="str">
        <f>"Nombre maestro "&amp;tDatosMaestros[[#This Row],[NO_CONTROL]]</f>
        <v>Nombre maestro 4407</v>
      </c>
      <c r="C84" s="9" t="s">
        <v>27</v>
      </c>
      <c r="D84" s="2">
        <v>5</v>
      </c>
      <c r="E84" s="2" t="s">
        <v>25</v>
      </c>
      <c r="F84" s="3" t="s">
        <v>9</v>
      </c>
      <c r="G84" s="3" t="s">
        <v>23</v>
      </c>
      <c r="H84" t="s">
        <v>104</v>
      </c>
      <c r="K84" s="4">
        <f>IF(tDatosMaestros[[#This Row],[TIPO PROFESOR]]="HRS", 3,2)</f>
        <v>2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</row>
    <row r="85" spans="1:15" x14ac:dyDescent="0.25">
      <c r="A85" s="2">
        <v>4407</v>
      </c>
      <c r="B85" s="9" t="str">
        <f>"Nombre maestro "&amp;tDatosMaestros[[#This Row],[NO_CONTROL]]</f>
        <v>Nombre maestro 4407</v>
      </c>
      <c r="C85" s="9" t="s">
        <v>27</v>
      </c>
      <c r="D85" s="2">
        <v>5</v>
      </c>
      <c r="E85" s="2" t="s">
        <v>26</v>
      </c>
      <c r="F85" s="3" t="s">
        <v>9</v>
      </c>
      <c r="G85" s="3" t="s">
        <v>23</v>
      </c>
      <c r="H85" t="s">
        <v>104</v>
      </c>
      <c r="K85" s="4">
        <f>IF(tDatosMaestros[[#This Row],[TIPO PROFESOR]]="HRS", 3,2)</f>
        <v>2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</row>
    <row r="86" spans="1:15" x14ac:dyDescent="0.25">
      <c r="A86" s="2">
        <v>4407</v>
      </c>
      <c r="B86" s="9" t="str">
        <f>"Nombre maestro "&amp;tDatosMaestros[[#This Row],[NO_CONTROL]]</f>
        <v>Nombre maestro 4407</v>
      </c>
      <c r="C86" s="9" t="s">
        <v>27</v>
      </c>
      <c r="D86" s="2">
        <v>5</v>
      </c>
      <c r="E86" s="2" t="s">
        <v>47</v>
      </c>
      <c r="F86" s="3" t="s">
        <v>9</v>
      </c>
      <c r="G86" s="3" t="s">
        <v>23</v>
      </c>
      <c r="H86" t="s">
        <v>104</v>
      </c>
      <c r="K86" s="4">
        <f>IF(tDatosMaestros[[#This Row],[TIPO PROFESOR]]="HRS", 3,2)</f>
        <v>2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</row>
    <row r="87" spans="1:15" x14ac:dyDescent="0.25">
      <c r="A87" s="2">
        <v>4407</v>
      </c>
      <c r="B87" s="9" t="str">
        <f>"Nombre maestro "&amp;tDatosMaestros[[#This Row],[NO_CONTROL]]</f>
        <v>Nombre maestro 4407</v>
      </c>
      <c r="C87" s="9" t="s">
        <v>27</v>
      </c>
      <c r="D87" s="2">
        <v>5</v>
      </c>
      <c r="E87" s="2" t="s">
        <v>48</v>
      </c>
      <c r="F87" s="3" t="s">
        <v>9</v>
      </c>
      <c r="G87" s="3" t="s">
        <v>23</v>
      </c>
      <c r="H87" t="s">
        <v>104</v>
      </c>
      <c r="K87" s="4">
        <f>IF(tDatosMaestros[[#This Row],[TIPO PROFESOR]]="HRS", 3,2)</f>
        <v>2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</row>
    <row r="88" spans="1:15" x14ac:dyDescent="0.25">
      <c r="A88" s="1">
        <v>4431</v>
      </c>
      <c r="B88" s="8" t="str">
        <f>"Nombre maestro "&amp;tDatosMaestros[[#This Row],[NO_CONTROL]]</f>
        <v>Nombre maestro 4431</v>
      </c>
      <c r="C88" s="8" t="s">
        <v>46</v>
      </c>
      <c r="D88" s="1">
        <v>4</v>
      </c>
      <c r="E88" s="1" t="s">
        <v>28</v>
      </c>
      <c r="F88" t="s">
        <v>9</v>
      </c>
      <c r="G88" t="s">
        <v>10</v>
      </c>
      <c r="H88" t="s">
        <v>113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</row>
    <row r="89" spans="1:15" x14ac:dyDescent="0.25">
      <c r="A89" s="1">
        <v>4431</v>
      </c>
      <c r="B89" s="8" t="str">
        <f>"Nombre maestro "&amp;tDatosMaestros[[#This Row],[NO_CONTROL]]</f>
        <v>Nombre maestro 4431</v>
      </c>
      <c r="C89" s="8" t="s">
        <v>46</v>
      </c>
      <c r="D89" s="1">
        <v>4</v>
      </c>
      <c r="E89" s="1" t="s">
        <v>29</v>
      </c>
      <c r="F89" t="s">
        <v>9</v>
      </c>
      <c r="G89" t="s">
        <v>10</v>
      </c>
      <c r="H89" t="s">
        <v>113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</row>
    <row r="90" spans="1:15" x14ac:dyDescent="0.25">
      <c r="A90" s="1">
        <v>4431</v>
      </c>
      <c r="B90" s="8" t="str">
        <f>"Nombre maestro "&amp;tDatosMaestros[[#This Row],[NO_CONTROL]]</f>
        <v>Nombre maestro 4431</v>
      </c>
      <c r="C90" s="8" t="s">
        <v>46</v>
      </c>
      <c r="D90" s="1">
        <v>4</v>
      </c>
      <c r="E90" s="1" t="s">
        <v>47</v>
      </c>
      <c r="F90" t="s">
        <v>9</v>
      </c>
      <c r="G90" t="s">
        <v>10</v>
      </c>
      <c r="H90" t="s">
        <v>113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</row>
    <row r="91" spans="1:15" x14ac:dyDescent="0.25">
      <c r="A91" s="1">
        <v>4431</v>
      </c>
      <c r="B91" s="8" t="str">
        <f>"Nombre maestro "&amp;tDatosMaestros[[#This Row],[NO_CONTROL]]</f>
        <v>Nombre maestro 4431</v>
      </c>
      <c r="C91" s="8" t="s">
        <v>46</v>
      </c>
      <c r="D91" s="1">
        <v>4</v>
      </c>
      <c r="E91" s="1" t="s">
        <v>48</v>
      </c>
      <c r="F91" t="s">
        <v>9</v>
      </c>
      <c r="G91" t="s">
        <v>10</v>
      </c>
      <c r="H91" t="s">
        <v>113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</row>
    <row r="92" spans="1:15" x14ac:dyDescent="0.25">
      <c r="A92" s="1">
        <v>4442</v>
      </c>
      <c r="B92" s="8" t="str">
        <f>"Nombre maestro "&amp;tDatosMaestros[[#This Row],[NO_CONTROL]]</f>
        <v>Nombre maestro 4442</v>
      </c>
      <c r="C92" s="8" t="s">
        <v>44</v>
      </c>
      <c r="D92" s="1">
        <v>4</v>
      </c>
      <c r="E92" s="1" t="s">
        <v>24</v>
      </c>
      <c r="F92" t="s">
        <v>9</v>
      </c>
      <c r="G92" t="s">
        <v>10</v>
      </c>
      <c r="H92" t="s">
        <v>111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</row>
    <row r="93" spans="1:15" x14ac:dyDescent="0.25">
      <c r="A93" s="1">
        <v>4732</v>
      </c>
      <c r="B93" s="8" t="str">
        <f>"Nombre maestro "&amp;tDatosMaestros[[#This Row],[NO_CONTROL]]</f>
        <v>Nombre maestro 4732</v>
      </c>
      <c r="C93" s="8" t="s">
        <v>44</v>
      </c>
      <c r="D93" s="1">
        <v>4</v>
      </c>
      <c r="E93" s="1" t="s">
        <v>22</v>
      </c>
      <c r="F93" t="s">
        <v>9</v>
      </c>
      <c r="G93" t="s">
        <v>10</v>
      </c>
      <c r="H93" t="s">
        <v>111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</row>
    <row r="94" spans="1:15" x14ac:dyDescent="0.25">
      <c r="A94" s="1">
        <v>4732</v>
      </c>
      <c r="B94" s="8" t="str">
        <f>"Nombre maestro "&amp;tDatosMaestros[[#This Row],[NO_CONTROL]]</f>
        <v>Nombre maestro 4732</v>
      </c>
      <c r="C94" s="8" t="s">
        <v>44</v>
      </c>
      <c r="D94" s="1">
        <v>4</v>
      </c>
      <c r="E94" s="1" t="s">
        <v>25</v>
      </c>
      <c r="F94" t="s">
        <v>9</v>
      </c>
      <c r="G94" t="s">
        <v>10</v>
      </c>
      <c r="H94" t="s">
        <v>111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</row>
    <row r="95" spans="1:15" x14ac:dyDescent="0.25">
      <c r="A95" s="1">
        <v>4732</v>
      </c>
      <c r="B95" s="8" t="str">
        <f>"Nombre maestro "&amp;tDatosMaestros[[#This Row],[NO_CONTROL]]</f>
        <v>Nombre maestro 4732</v>
      </c>
      <c r="C95" s="8" t="s">
        <v>44</v>
      </c>
      <c r="D95" s="1">
        <v>4</v>
      </c>
      <c r="E95" s="1" t="s">
        <v>28</v>
      </c>
      <c r="F95" t="s">
        <v>9</v>
      </c>
      <c r="G95" t="s">
        <v>10</v>
      </c>
      <c r="H95" t="s">
        <v>111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</row>
    <row r="96" spans="1:15" x14ac:dyDescent="0.25">
      <c r="A96" s="1">
        <v>4802</v>
      </c>
      <c r="B96" s="8" t="str">
        <f>"Nombre maestro "&amp;tDatosMaestros[[#This Row],[NO_CONTROL]]</f>
        <v>Nombre maestro 4802</v>
      </c>
      <c r="C96" s="8" t="s">
        <v>66</v>
      </c>
      <c r="D96" s="1">
        <v>4</v>
      </c>
      <c r="E96" s="1" t="s">
        <v>28</v>
      </c>
      <c r="F96" t="s">
        <v>9</v>
      </c>
      <c r="G96" t="s">
        <v>10</v>
      </c>
      <c r="H96" t="s">
        <v>133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</row>
    <row r="97" spans="1:15" x14ac:dyDescent="0.25">
      <c r="A97" s="1">
        <v>4802</v>
      </c>
      <c r="B97" s="8" t="str">
        <f>"Nombre maestro "&amp;tDatosMaestros[[#This Row],[NO_CONTROL]]</f>
        <v>Nombre maestro 4802</v>
      </c>
      <c r="C97" s="8" t="s">
        <v>66</v>
      </c>
      <c r="D97" s="1">
        <v>4</v>
      </c>
      <c r="E97" s="1" t="s">
        <v>29</v>
      </c>
      <c r="F97" t="s">
        <v>9</v>
      </c>
      <c r="G97" t="s">
        <v>10</v>
      </c>
      <c r="H97" t="s">
        <v>133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</row>
    <row r="98" spans="1:15" x14ac:dyDescent="0.25">
      <c r="A98" s="1">
        <v>4802</v>
      </c>
      <c r="B98" s="8" t="str">
        <f>"Nombre maestro "&amp;tDatosMaestros[[#This Row],[NO_CONTROL]]</f>
        <v>Nombre maestro 4802</v>
      </c>
      <c r="C98" s="8" t="s">
        <v>66</v>
      </c>
      <c r="D98" s="1">
        <v>4</v>
      </c>
      <c r="E98" s="1" t="s">
        <v>47</v>
      </c>
      <c r="F98" t="s">
        <v>9</v>
      </c>
      <c r="G98" t="s">
        <v>10</v>
      </c>
      <c r="H98" t="s">
        <v>133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</row>
    <row r="99" spans="1:15" x14ac:dyDescent="0.25">
      <c r="A99" s="1">
        <v>4802</v>
      </c>
      <c r="B99" s="8" t="str">
        <f>"Nombre maestro "&amp;tDatosMaestros[[#This Row],[NO_CONTROL]]</f>
        <v>Nombre maestro 4802</v>
      </c>
      <c r="C99" s="8" t="s">
        <v>66</v>
      </c>
      <c r="D99" s="1">
        <v>4</v>
      </c>
      <c r="E99" s="1" t="s">
        <v>48</v>
      </c>
      <c r="F99" t="s">
        <v>9</v>
      </c>
      <c r="G99" t="s">
        <v>10</v>
      </c>
      <c r="H99" t="s">
        <v>133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</row>
    <row r="100" spans="1:15" x14ac:dyDescent="0.25">
      <c r="A100" s="1">
        <v>4879</v>
      </c>
      <c r="B100" s="8" t="str">
        <f>"Nombre maestro "&amp;tDatosMaestros[[#This Row],[NO_CONTROL]]</f>
        <v>Nombre maestro 4879</v>
      </c>
      <c r="C100" s="8" t="s">
        <v>45</v>
      </c>
      <c r="D100" s="1">
        <v>4</v>
      </c>
      <c r="E100" s="1" t="s">
        <v>12</v>
      </c>
      <c r="F100" t="s">
        <v>9</v>
      </c>
      <c r="G100" t="s">
        <v>10</v>
      </c>
      <c r="H100" t="s">
        <v>112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</row>
    <row r="101" spans="1:15" x14ac:dyDescent="0.25">
      <c r="A101" s="1">
        <v>4879</v>
      </c>
      <c r="B101" s="8" t="str">
        <f>"Nombre maestro "&amp;tDatosMaestros[[#This Row],[NO_CONTROL]]</f>
        <v>Nombre maestro 4879</v>
      </c>
      <c r="C101" s="8" t="s">
        <v>45</v>
      </c>
      <c r="D101" s="1">
        <v>4</v>
      </c>
      <c r="E101" s="1" t="s">
        <v>20</v>
      </c>
      <c r="F101" t="s">
        <v>9</v>
      </c>
      <c r="G101" t="s">
        <v>10</v>
      </c>
      <c r="H101" t="s">
        <v>112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</row>
    <row r="102" spans="1:15" x14ac:dyDescent="0.25">
      <c r="A102" s="2">
        <v>5155</v>
      </c>
      <c r="B102" s="9" t="str">
        <f>"Nombre maestro "&amp;tDatosMaestros[[#This Row],[NO_CONTROL]]</f>
        <v>Nombre maestro 5155</v>
      </c>
      <c r="C102" s="9" t="s">
        <v>11</v>
      </c>
      <c r="D102" s="2">
        <v>4</v>
      </c>
      <c r="E102" s="2" t="s">
        <v>20</v>
      </c>
      <c r="F102" s="3" t="s">
        <v>9</v>
      </c>
      <c r="G102" s="3" t="s">
        <v>23</v>
      </c>
      <c r="H102" t="s">
        <v>99</v>
      </c>
      <c r="K102">
        <f>IF(tDatosMaestros[[#This Row],[TIPO PROFESOR]]="HRS", 3,2)</f>
        <v>2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</row>
    <row r="103" spans="1:15" x14ac:dyDescent="0.25">
      <c r="A103" s="2">
        <v>5155</v>
      </c>
      <c r="B103" s="9" t="str">
        <f>"Nombre maestro "&amp;tDatosMaestros[[#This Row],[NO_CONTROL]]</f>
        <v>Nombre maestro 5155</v>
      </c>
      <c r="C103" s="9" t="s">
        <v>11</v>
      </c>
      <c r="D103" s="2">
        <v>4</v>
      </c>
      <c r="E103" s="2" t="s">
        <v>16</v>
      </c>
      <c r="F103" s="3" t="s">
        <v>9</v>
      </c>
      <c r="G103" s="3" t="s">
        <v>23</v>
      </c>
      <c r="H103" t="s">
        <v>99</v>
      </c>
      <c r="K103">
        <f>IF(tDatosMaestros[[#This Row],[TIPO PROFESOR]]="HRS", 3,2)</f>
        <v>2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</row>
    <row r="104" spans="1:15" x14ac:dyDescent="0.25">
      <c r="A104" s="2">
        <v>5155</v>
      </c>
      <c r="B104" s="9" t="str">
        <f>"Nombre maestro "&amp;tDatosMaestros[[#This Row],[NO_CONTROL]]</f>
        <v>Nombre maestro 5155</v>
      </c>
      <c r="C104" s="9" t="s">
        <v>11</v>
      </c>
      <c r="D104" s="2">
        <v>4</v>
      </c>
      <c r="E104" s="2" t="s">
        <v>8</v>
      </c>
      <c r="F104" s="3" t="s">
        <v>9</v>
      </c>
      <c r="G104" s="3" t="s">
        <v>23</v>
      </c>
      <c r="H104" t="s">
        <v>99</v>
      </c>
      <c r="K104">
        <f>IF(tDatosMaestros[[#This Row],[TIPO PROFESOR]]="HRS", 3,2)</f>
        <v>2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</row>
    <row r="105" spans="1:15" x14ac:dyDescent="0.25">
      <c r="A105" s="1">
        <v>5212</v>
      </c>
      <c r="B105" s="8" t="str">
        <f>"Nombre maestro "&amp;tDatosMaestros[[#This Row],[NO_CONTROL]]</f>
        <v>Nombre maestro 5212</v>
      </c>
      <c r="C105" s="8" t="s">
        <v>38</v>
      </c>
      <c r="D105" s="1">
        <v>5</v>
      </c>
      <c r="E105" s="1" t="s">
        <v>37</v>
      </c>
      <c r="F105" t="s">
        <v>9</v>
      </c>
      <c r="G105" t="s">
        <v>10</v>
      </c>
      <c r="H105" t="s">
        <v>105</v>
      </c>
      <c r="K105" s="4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</row>
    <row r="106" spans="1:15" x14ac:dyDescent="0.25">
      <c r="A106" s="1">
        <v>5212</v>
      </c>
      <c r="B106" s="8" t="str">
        <f>"Nombre maestro "&amp;tDatosMaestros[[#This Row],[NO_CONTROL]]</f>
        <v>Nombre maestro 5212</v>
      </c>
      <c r="C106" s="8" t="s">
        <v>27</v>
      </c>
      <c r="D106" s="1">
        <v>5</v>
      </c>
      <c r="E106" s="1" t="s">
        <v>24</v>
      </c>
      <c r="F106" t="s">
        <v>9</v>
      </c>
      <c r="G106" t="s">
        <v>10</v>
      </c>
      <c r="H106" t="s">
        <v>104</v>
      </c>
      <c r="K106" s="4">
        <f>IF(tDatosMaestros[[#This Row],[TIPO PROFESOR]]="HRS", 3,2)</f>
        <v>3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</row>
    <row r="107" spans="1:15" x14ac:dyDescent="0.25">
      <c r="A107" s="1">
        <v>5321</v>
      </c>
      <c r="B107" s="8" t="str">
        <f>"Nombre maestro "&amp;tDatosMaestros[[#This Row],[NO_CONTROL]]</f>
        <v>Nombre maestro 5321</v>
      </c>
      <c r="C107" s="8" t="s">
        <v>7</v>
      </c>
      <c r="D107" s="1">
        <v>4</v>
      </c>
      <c r="E107" s="1" t="s">
        <v>12</v>
      </c>
      <c r="F107" t="s">
        <v>9</v>
      </c>
      <c r="G107" t="s">
        <v>10</v>
      </c>
      <c r="H107" t="s">
        <v>94</v>
      </c>
      <c r="K107">
        <f>IF(tDatosMaestros[[#This Row],[TIPO PROFESOR]]="HRS", 3,2)</f>
        <v>3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</row>
    <row r="108" spans="1:15" x14ac:dyDescent="0.25">
      <c r="A108" s="1">
        <v>5321</v>
      </c>
      <c r="B108" s="8" t="str">
        <f>"Nombre maestro "&amp;tDatosMaestros[[#This Row],[NO_CONTROL]]</f>
        <v>Nombre maestro 5321</v>
      </c>
      <c r="C108" s="8" t="s">
        <v>7</v>
      </c>
      <c r="D108" s="1">
        <v>4</v>
      </c>
      <c r="E108" s="1" t="s">
        <v>20</v>
      </c>
      <c r="F108" t="s">
        <v>9</v>
      </c>
      <c r="G108" t="s">
        <v>10</v>
      </c>
      <c r="H108" t="s">
        <v>94</v>
      </c>
      <c r="K108">
        <f>IF(tDatosMaestros[[#This Row],[TIPO PROFESOR]]="HRS", 3,2)</f>
        <v>3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</row>
    <row r="109" spans="1:15" x14ac:dyDescent="0.25">
      <c r="A109" s="1">
        <v>5321</v>
      </c>
      <c r="B109" s="8" t="str">
        <f>"Nombre maestro "&amp;tDatosMaestros[[#This Row],[NO_CONTROL]]</f>
        <v>Nombre maestro 5321</v>
      </c>
      <c r="C109" s="8" t="s">
        <v>7</v>
      </c>
      <c r="D109" s="1">
        <v>4</v>
      </c>
      <c r="E109" s="1" t="s">
        <v>17</v>
      </c>
      <c r="F109" t="s">
        <v>9</v>
      </c>
      <c r="G109" t="s">
        <v>10</v>
      </c>
      <c r="H109" t="s">
        <v>94</v>
      </c>
      <c r="K109">
        <f>IF(tDatosMaestros[[#This Row],[TIPO PROFESOR]]="HRS", 3,2)</f>
        <v>3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N109">
        <v>0</v>
      </c>
      <c r="O109">
        <v>0</v>
      </c>
    </row>
    <row r="110" spans="1:15" x14ac:dyDescent="0.25">
      <c r="A110" s="1">
        <v>5321</v>
      </c>
      <c r="B110" s="8" t="str">
        <f>"Nombre maestro "&amp;tDatosMaestros[[#This Row],[NO_CONTROL]]</f>
        <v>Nombre maestro 5321</v>
      </c>
      <c r="C110" s="8" t="s">
        <v>7</v>
      </c>
      <c r="D110" s="1">
        <v>4</v>
      </c>
      <c r="E110" s="1" t="s">
        <v>18</v>
      </c>
      <c r="F110" t="s">
        <v>9</v>
      </c>
      <c r="G110" t="s">
        <v>10</v>
      </c>
      <c r="H110" t="s">
        <v>94</v>
      </c>
      <c r="K110">
        <f>IF(tDatosMaestros[[#This Row],[TIPO PROFESOR]]="HRS", 3,2)</f>
        <v>3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</row>
    <row r="111" spans="1:15" x14ac:dyDescent="0.25">
      <c r="A111" s="1">
        <v>5321</v>
      </c>
      <c r="B111" s="8" t="str">
        <f>"Nombre maestro "&amp;tDatosMaestros[[#This Row],[NO_CONTROL]]</f>
        <v>Nombre maestro 5321</v>
      </c>
      <c r="C111" s="8" t="s">
        <v>52</v>
      </c>
      <c r="D111" s="1">
        <v>4</v>
      </c>
      <c r="E111" s="1" t="s">
        <v>28</v>
      </c>
      <c r="F111" t="s">
        <v>9</v>
      </c>
      <c r="G111" t="s">
        <v>10</v>
      </c>
      <c r="H111" t="s">
        <v>116</v>
      </c>
      <c r="K111">
        <f>IF(tDatosMaestros[[#This Row],[TIPO PROFESOR]]="HRS", 3,2)</f>
        <v>3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</row>
    <row r="112" spans="1:15" x14ac:dyDescent="0.25">
      <c r="A112" s="1">
        <v>5321</v>
      </c>
      <c r="B112" s="8" t="str">
        <f>"Nombre maestro "&amp;tDatosMaestros[[#This Row],[NO_CONTROL]]</f>
        <v>Nombre maestro 5321</v>
      </c>
      <c r="C112" s="8" t="s">
        <v>52</v>
      </c>
      <c r="D112" s="1">
        <v>4</v>
      </c>
      <c r="E112" s="1" t="s">
        <v>29</v>
      </c>
      <c r="F112" t="s">
        <v>9</v>
      </c>
      <c r="G112" t="s">
        <v>10</v>
      </c>
      <c r="H112" t="s">
        <v>116</v>
      </c>
      <c r="K112">
        <f>IF(tDatosMaestros[[#This Row],[TIPO PROFESOR]]="HRS", 3,2)</f>
        <v>3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</row>
    <row r="113" spans="1:15" x14ac:dyDescent="0.25">
      <c r="A113" s="1">
        <v>5321</v>
      </c>
      <c r="B113" s="8" t="str">
        <f>"Nombre maestro "&amp;tDatosMaestros[[#This Row],[NO_CONTROL]]</f>
        <v>Nombre maestro 5321</v>
      </c>
      <c r="C113" s="8" t="s">
        <v>52</v>
      </c>
      <c r="D113" s="1">
        <v>4</v>
      </c>
      <c r="E113" s="1" t="s">
        <v>47</v>
      </c>
      <c r="F113" t="s">
        <v>9</v>
      </c>
      <c r="G113" t="s">
        <v>10</v>
      </c>
      <c r="H113" t="s">
        <v>116</v>
      </c>
      <c r="K113">
        <f>IF(tDatosMaestros[[#This Row],[TIPO PROFESOR]]="HRS", 3,2)</f>
        <v>3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</row>
    <row r="114" spans="1:15" x14ac:dyDescent="0.25">
      <c r="A114" s="1">
        <v>5321</v>
      </c>
      <c r="B114" s="8" t="str">
        <f>"Nombre maestro "&amp;tDatosMaestros[[#This Row],[NO_CONTROL]]</f>
        <v>Nombre maestro 5321</v>
      </c>
      <c r="C114" s="8" t="s">
        <v>52</v>
      </c>
      <c r="D114" s="1">
        <v>4</v>
      </c>
      <c r="E114" s="1" t="s">
        <v>48</v>
      </c>
      <c r="F114" t="s">
        <v>9</v>
      </c>
      <c r="G114" t="s">
        <v>10</v>
      </c>
      <c r="H114" t="s">
        <v>116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</row>
    <row r="115" spans="1:15" x14ac:dyDescent="0.25">
      <c r="A115" s="1">
        <v>5610</v>
      </c>
      <c r="B115" s="8" t="str">
        <f>"Nombre maestro "&amp;tDatosMaestros[[#This Row],[NO_CONTROL]]</f>
        <v>Nombre maestro 5610</v>
      </c>
      <c r="C115" s="8" t="s">
        <v>38</v>
      </c>
      <c r="D115" s="1">
        <v>5</v>
      </c>
      <c r="E115" s="1" t="s">
        <v>35</v>
      </c>
      <c r="F115" t="s">
        <v>9</v>
      </c>
      <c r="G115" t="s">
        <v>10</v>
      </c>
      <c r="H115" t="s">
        <v>105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</row>
    <row r="116" spans="1:15" x14ac:dyDescent="0.25">
      <c r="A116" s="1">
        <v>5610</v>
      </c>
      <c r="B116" s="8" t="str">
        <f>"Nombre maestro "&amp;tDatosMaestros[[#This Row],[NO_CONTROL]]</f>
        <v>Nombre maestro 5610</v>
      </c>
      <c r="C116" s="8" t="s">
        <v>38</v>
      </c>
      <c r="D116" s="1">
        <v>5</v>
      </c>
      <c r="E116" s="1" t="s">
        <v>36</v>
      </c>
      <c r="F116" t="s">
        <v>9</v>
      </c>
      <c r="G116" t="s">
        <v>10</v>
      </c>
      <c r="H116" t="s">
        <v>105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</row>
    <row r="117" spans="1:15" x14ac:dyDescent="0.25">
      <c r="A117" s="1">
        <v>5610</v>
      </c>
      <c r="B117" s="8" t="str">
        <f>"Nombre maestro "&amp;tDatosMaestros[[#This Row],[NO_CONTROL]]</f>
        <v>Nombre maestro 5610</v>
      </c>
      <c r="C117" s="8" t="s">
        <v>38</v>
      </c>
      <c r="D117" s="1">
        <v>5</v>
      </c>
      <c r="E117" s="1" t="s">
        <v>14</v>
      </c>
      <c r="F117" t="s">
        <v>9</v>
      </c>
      <c r="G117" t="s">
        <v>10</v>
      </c>
      <c r="H117" t="s">
        <v>105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</row>
    <row r="118" spans="1:15" x14ac:dyDescent="0.25">
      <c r="A118" s="1">
        <v>5625</v>
      </c>
      <c r="B118" s="8" t="str">
        <f>"Nombre maestro "&amp;tDatosMaestros[[#This Row],[NO_CONTROL]]</f>
        <v>Nombre maestro 5625</v>
      </c>
      <c r="C118" s="8" t="s">
        <v>7</v>
      </c>
      <c r="D118" s="1">
        <v>4</v>
      </c>
      <c r="E118" s="1" t="s">
        <v>30</v>
      </c>
      <c r="F118" t="s">
        <v>9</v>
      </c>
      <c r="G118" t="s">
        <v>10</v>
      </c>
      <c r="H118" t="s">
        <v>94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</row>
    <row r="119" spans="1:15" x14ac:dyDescent="0.25">
      <c r="A119" s="1">
        <v>5625</v>
      </c>
      <c r="B119" s="8" t="str">
        <f>"Nombre maestro "&amp;tDatosMaestros[[#This Row],[NO_CONTROL]]</f>
        <v>Nombre maestro 5625</v>
      </c>
      <c r="C119" s="8" t="s">
        <v>7</v>
      </c>
      <c r="D119" s="1">
        <v>4</v>
      </c>
      <c r="E119" s="1" t="s">
        <v>16</v>
      </c>
      <c r="F119" t="s">
        <v>9</v>
      </c>
      <c r="G119" t="s">
        <v>10</v>
      </c>
      <c r="H119" t="s">
        <v>94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</row>
    <row r="120" spans="1:15" x14ac:dyDescent="0.25">
      <c r="A120" s="1">
        <v>5625</v>
      </c>
      <c r="B120" s="8" t="str">
        <f>"Nombre maestro "&amp;tDatosMaestros[[#This Row],[NO_CONTROL]]</f>
        <v>Nombre maestro 5625</v>
      </c>
      <c r="C120" s="8" t="s">
        <v>69</v>
      </c>
      <c r="D120" s="1">
        <v>4</v>
      </c>
      <c r="E120" s="1" t="s">
        <v>35</v>
      </c>
      <c r="F120" t="s">
        <v>9</v>
      </c>
      <c r="G120" t="s">
        <v>10</v>
      </c>
      <c r="H120" t="s">
        <v>136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</row>
    <row r="121" spans="1:15" x14ac:dyDescent="0.25">
      <c r="A121" s="1">
        <v>5625</v>
      </c>
      <c r="B121" s="8" t="str">
        <f>"Nombre maestro "&amp;tDatosMaestros[[#This Row],[NO_CONTROL]]</f>
        <v>Nombre maestro 5625</v>
      </c>
      <c r="C121" s="8" t="s">
        <v>19</v>
      </c>
      <c r="D121" s="1">
        <v>4</v>
      </c>
      <c r="E121" s="1" t="s">
        <v>8</v>
      </c>
      <c r="F121" t="s">
        <v>9</v>
      </c>
      <c r="G121" t="s">
        <v>10</v>
      </c>
      <c r="H121" t="s">
        <v>102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</row>
    <row r="122" spans="1:15" x14ac:dyDescent="0.25">
      <c r="A122" s="1">
        <v>5625</v>
      </c>
      <c r="B122" s="8" t="str">
        <f>"Nombre maestro "&amp;tDatosMaestros[[#This Row],[NO_CONTROL]]</f>
        <v>Nombre maestro 5625</v>
      </c>
      <c r="C122" s="8" t="s">
        <v>19</v>
      </c>
      <c r="D122" s="1">
        <v>4</v>
      </c>
      <c r="E122" s="1" t="s">
        <v>17</v>
      </c>
      <c r="F122" t="s">
        <v>9</v>
      </c>
      <c r="G122" t="s">
        <v>10</v>
      </c>
      <c r="H122" t="s">
        <v>102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</row>
    <row r="123" spans="1:15" x14ac:dyDescent="0.25">
      <c r="A123" s="1">
        <v>5625</v>
      </c>
      <c r="B123" s="8" t="str">
        <f>"Nombre maestro "&amp;tDatosMaestros[[#This Row],[NO_CONTROL]]</f>
        <v>Nombre maestro 5625</v>
      </c>
      <c r="C123" s="8" t="s">
        <v>19</v>
      </c>
      <c r="D123" s="1">
        <v>4</v>
      </c>
      <c r="E123" s="1" t="s">
        <v>43</v>
      </c>
      <c r="F123" t="s">
        <v>9</v>
      </c>
      <c r="G123" t="s">
        <v>10</v>
      </c>
      <c r="H123" t="s">
        <v>102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</row>
    <row r="124" spans="1:15" x14ac:dyDescent="0.25">
      <c r="A124" s="1">
        <v>5691</v>
      </c>
      <c r="B124" s="8" t="str">
        <f>"Nombre maestro "&amp;tDatosMaestros[[#This Row],[NO_CONTROL]]</f>
        <v>Nombre maestro 5691</v>
      </c>
      <c r="C124" s="8" t="s">
        <v>13</v>
      </c>
      <c r="D124" s="1">
        <v>4</v>
      </c>
      <c r="E124" s="1" t="s">
        <v>35</v>
      </c>
      <c r="F124" t="s">
        <v>9</v>
      </c>
      <c r="G124" t="s">
        <v>10</v>
      </c>
      <c r="H124" t="s">
        <v>100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</row>
    <row r="125" spans="1:15" x14ac:dyDescent="0.25">
      <c r="A125" s="1">
        <v>5691</v>
      </c>
      <c r="B125" s="8" t="str">
        <f>"Nombre maestro "&amp;tDatosMaestros[[#This Row],[NO_CONTROL]]</f>
        <v>Nombre maestro 5691</v>
      </c>
      <c r="C125" s="8" t="s">
        <v>13</v>
      </c>
      <c r="D125" s="1">
        <v>4</v>
      </c>
      <c r="E125" s="1" t="s">
        <v>36</v>
      </c>
      <c r="F125" t="s">
        <v>9</v>
      </c>
      <c r="G125" t="s">
        <v>10</v>
      </c>
      <c r="H125" t="s">
        <v>100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</row>
    <row r="126" spans="1:15" x14ac:dyDescent="0.25">
      <c r="A126" s="1">
        <v>5691</v>
      </c>
      <c r="B126" s="8" t="str">
        <f>"Nombre maestro "&amp;tDatosMaestros[[#This Row],[NO_CONTROL]]</f>
        <v>Nombre maestro 5691</v>
      </c>
      <c r="C126" s="8" t="s">
        <v>13</v>
      </c>
      <c r="D126" s="1">
        <v>4</v>
      </c>
      <c r="E126" s="1" t="s">
        <v>37</v>
      </c>
      <c r="F126" t="s">
        <v>9</v>
      </c>
      <c r="G126" t="s">
        <v>10</v>
      </c>
      <c r="H126" t="s">
        <v>100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</row>
    <row r="127" spans="1:15" x14ac:dyDescent="0.25">
      <c r="A127" s="1">
        <v>6024</v>
      </c>
      <c r="B127" s="8" t="str">
        <f>"Nombre maestro "&amp;tDatosMaestros[[#This Row],[NO_CONTROL]]</f>
        <v>Nombre maestro 6024</v>
      </c>
      <c r="C127" s="8" t="s">
        <v>68</v>
      </c>
      <c r="D127" s="1">
        <v>4</v>
      </c>
      <c r="E127" s="1" t="s">
        <v>35</v>
      </c>
      <c r="F127" t="s">
        <v>9</v>
      </c>
      <c r="G127" t="s">
        <v>10</v>
      </c>
      <c r="H127" t="s">
        <v>135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</row>
    <row r="128" spans="1:15" x14ac:dyDescent="0.25">
      <c r="A128" s="1">
        <v>6024</v>
      </c>
      <c r="B128" s="8" t="str">
        <f>"Nombre maestro "&amp;tDatosMaestros[[#This Row],[NO_CONTROL]]</f>
        <v>Nombre maestro 6024</v>
      </c>
      <c r="C128" s="8" t="s">
        <v>68</v>
      </c>
      <c r="D128" s="1">
        <v>4</v>
      </c>
      <c r="E128" s="1" t="s">
        <v>36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</row>
    <row r="129" spans="1:15" x14ac:dyDescent="0.25">
      <c r="A129" s="1">
        <v>6024</v>
      </c>
      <c r="B129" s="8" t="str">
        <f>"Nombre maestro "&amp;tDatosMaestros[[#This Row],[NO_CONTROL]]</f>
        <v>Nombre maestro 6024</v>
      </c>
      <c r="C129" s="8" t="s">
        <v>68</v>
      </c>
      <c r="D129" s="1">
        <v>4</v>
      </c>
      <c r="E129" s="1" t="s">
        <v>37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</row>
    <row r="130" spans="1:15" x14ac:dyDescent="0.25">
      <c r="A130" s="1">
        <v>6024</v>
      </c>
      <c r="B130" s="8" t="str">
        <f>"Nombre maestro "&amp;tDatosMaestros[[#This Row],[NO_CONTROL]]</f>
        <v>Nombre maestro 6024</v>
      </c>
      <c r="C130" s="8" t="s">
        <v>68</v>
      </c>
      <c r="D130" s="1">
        <v>4</v>
      </c>
      <c r="E130" s="1" t="s">
        <v>14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</row>
    <row r="131" spans="1:15" x14ac:dyDescent="0.25">
      <c r="A131" s="1">
        <v>6030</v>
      </c>
      <c r="B131" s="8" t="str">
        <f>"Nombre maestro "&amp;tDatosMaestros[[#This Row],[NO_CONTROL]]</f>
        <v>Nombre maestro 6030</v>
      </c>
      <c r="C131" s="8" t="s">
        <v>69</v>
      </c>
      <c r="D131" s="1">
        <v>4</v>
      </c>
      <c r="E131" s="1" t="s">
        <v>36</v>
      </c>
      <c r="F131" t="s">
        <v>9</v>
      </c>
      <c r="G131" t="s">
        <v>10</v>
      </c>
      <c r="H131" t="s">
        <v>136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</row>
    <row r="132" spans="1:15" x14ac:dyDescent="0.25">
      <c r="A132" s="1">
        <v>6030</v>
      </c>
      <c r="B132" s="8" t="str">
        <f>"Nombre maestro "&amp;tDatosMaestros[[#This Row],[NO_CONTROL]]</f>
        <v>Nombre maestro 6030</v>
      </c>
      <c r="C132" s="8" t="s">
        <v>69</v>
      </c>
      <c r="D132" s="1">
        <v>4</v>
      </c>
      <c r="E132" s="1" t="s">
        <v>37</v>
      </c>
      <c r="F132" t="s">
        <v>9</v>
      </c>
      <c r="G132" t="s">
        <v>10</v>
      </c>
      <c r="H132" t="s">
        <v>136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</row>
    <row r="133" spans="1:15" x14ac:dyDescent="0.25">
      <c r="A133" s="1">
        <v>6030</v>
      </c>
      <c r="B133" s="8" t="str">
        <f>"Nombre maestro "&amp;tDatosMaestros[[#This Row],[NO_CONTROL]]</f>
        <v>Nombre maestro 6030</v>
      </c>
      <c r="C133" s="8" t="s">
        <v>69</v>
      </c>
      <c r="D133" s="1">
        <v>4</v>
      </c>
      <c r="E133" s="1" t="s">
        <v>14</v>
      </c>
      <c r="F133" t="s">
        <v>9</v>
      </c>
      <c r="G133" t="s">
        <v>10</v>
      </c>
      <c r="H133" t="s">
        <v>136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</row>
    <row r="134" spans="1:15" x14ac:dyDescent="0.25">
      <c r="A134" s="1">
        <v>6030</v>
      </c>
      <c r="B134" s="8" t="str">
        <f>"Nombre maestro "&amp;tDatosMaestros[[#This Row],[NO_CONTROL]]</f>
        <v>Nombre maestro 6030</v>
      </c>
      <c r="C134" s="9" t="s">
        <v>11</v>
      </c>
      <c r="D134" s="1">
        <v>4</v>
      </c>
      <c r="E134" s="1" t="s">
        <v>30</v>
      </c>
      <c r="F134" t="s">
        <v>9</v>
      </c>
      <c r="G134" t="s">
        <v>10</v>
      </c>
      <c r="H134" t="s">
        <v>99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</row>
    <row r="135" spans="1:15" x14ac:dyDescent="0.25">
      <c r="A135" s="1">
        <v>6030</v>
      </c>
      <c r="B135" s="8" t="str">
        <f>"Nombre maestro "&amp;tDatosMaestros[[#This Row],[NO_CONTROL]]</f>
        <v>Nombre maestro 6030</v>
      </c>
      <c r="C135" s="8" t="s">
        <v>7</v>
      </c>
      <c r="D135" s="1">
        <v>4</v>
      </c>
      <c r="E135" s="1" t="s">
        <v>43</v>
      </c>
      <c r="F135" t="s">
        <v>9</v>
      </c>
      <c r="G135" t="s">
        <v>10</v>
      </c>
      <c r="H135" t="s">
        <v>94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</row>
    <row r="136" spans="1:15" x14ac:dyDescent="0.25">
      <c r="A136" s="1">
        <v>6130</v>
      </c>
      <c r="B136" s="8" t="str">
        <f>"Nombre maestro "&amp;tDatosMaestros[[#This Row],[NO_CONTROL]]</f>
        <v>Nombre maestro 6130</v>
      </c>
      <c r="C136" s="8" t="s">
        <v>7</v>
      </c>
      <c r="D136" s="1">
        <v>4</v>
      </c>
      <c r="E136" s="1" t="s">
        <v>8</v>
      </c>
      <c r="F136" t="s">
        <v>9</v>
      </c>
      <c r="G136" t="s">
        <v>10</v>
      </c>
      <c r="H136" t="s">
        <v>94</v>
      </c>
      <c r="K136">
        <f>IF(tDatosMaestros[[#This Row],[TIPO PROFESOR]]="HRS", 3,2)</f>
        <v>3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</row>
    <row r="137" spans="1:15" x14ac:dyDescent="0.25">
      <c r="A137" s="1">
        <v>6130</v>
      </c>
      <c r="B137" s="8" t="str">
        <f>"Nombre maestro "&amp;tDatosMaestros[[#This Row],[NO_CONTROL]]</f>
        <v>Nombre maestro 6130</v>
      </c>
      <c r="C137" s="8" t="s">
        <v>11</v>
      </c>
      <c r="D137" s="1">
        <v>4</v>
      </c>
      <c r="E137" s="1" t="s">
        <v>12</v>
      </c>
      <c r="F137" t="s">
        <v>9</v>
      </c>
      <c r="G137" t="s">
        <v>10</v>
      </c>
      <c r="H137" t="s">
        <v>99</v>
      </c>
      <c r="K137">
        <f>IF(tDatosMaestros[[#This Row],[TIPO PROFESOR]]="HRS", 3,2)</f>
        <v>3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</row>
    <row r="138" spans="1:15" x14ac:dyDescent="0.25">
      <c r="A138" s="1">
        <v>6130</v>
      </c>
      <c r="B138" s="8" t="str">
        <f>"Nombre maestro "&amp;tDatosMaestros[[#This Row],[NO_CONTROL]]</f>
        <v>Nombre maestro 6130</v>
      </c>
      <c r="C138" s="8" t="s">
        <v>13</v>
      </c>
      <c r="D138" s="1">
        <v>4</v>
      </c>
      <c r="E138" s="1" t="s">
        <v>14</v>
      </c>
      <c r="F138" t="s">
        <v>9</v>
      </c>
      <c r="G138" t="s">
        <v>10</v>
      </c>
      <c r="H138" t="s">
        <v>100</v>
      </c>
      <c r="K138">
        <f>IF(tDatosMaestros[[#This Row],[TIPO PROFESOR]]="HRS", 3,2)</f>
        <v>3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</row>
    <row r="139" spans="1:15" x14ac:dyDescent="0.25">
      <c r="A139" s="1">
        <v>6327</v>
      </c>
      <c r="B139" s="8" t="str">
        <f>"Nombre maestro "&amp;tDatosMaestros[[#This Row],[NO_CONTROL]]</f>
        <v>Nombre maestro 6327</v>
      </c>
      <c r="C139" s="8" t="s">
        <v>42</v>
      </c>
      <c r="D139" s="1">
        <v>5</v>
      </c>
      <c r="E139" s="1" t="s">
        <v>12</v>
      </c>
      <c r="F139" t="s">
        <v>9</v>
      </c>
      <c r="G139" t="s">
        <v>10</v>
      </c>
      <c r="H139" t="s">
        <v>110</v>
      </c>
      <c r="K139">
        <f>IF(tDatosMaestros[[#This Row],[TIPO PROFESOR]]="HRS", 3,2)</f>
        <v>3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</row>
    <row r="140" spans="1:15" x14ac:dyDescent="0.25">
      <c r="A140" s="1">
        <v>6327</v>
      </c>
      <c r="B140" s="8" t="str">
        <f>"Nombre maestro "&amp;tDatosMaestros[[#This Row],[NO_CONTROL]]</f>
        <v>Nombre maestro 6327</v>
      </c>
      <c r="C140" s="8" t="s">
        <v>42</v>
      </c>
      <c r="D140" s="1">
        <v>5</v>
      </c>
      <c r="E140" s="1" t="s">
        <v>30</v>
      </c>
      <c r="F140" t="s">
        <v>9</v>
      </c>
      <c r="G140" t="s">
        <v>10</v>
      </c>
      <c r="H140" t="s">
        <v>110</v>
      </c>
      <c r="K140">
        <f>IF(tDatosMaestros[[#This Row],[TIPO PROFESOR]]="HRS", 3,2)</f>
        <v>3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</row>
    <row r="141" spans="1:15" x14ac:dyDescent="0.25">
      <c r="A141" s="1">
        <v>6327</v>
      </c>
      <c r="B141" s="8" t="str">
        <f>"Nombre maestro "&amp;tDatosMaestros[[#This Row],[NO_CONTROL]]</f>
        <v>Nombre maestro 6327</v>
      </c>
      <c r="C141" s="8" t="s">
        <v>42</v>
      </c>
      <c r="D141" s="1">
        <v>5</v>
      </c>
      <c r="E141" s="1" t="s">
        <v>20</v>
      </c>
      <c r="F141" t="s">
        <v>9</v>
      </c>
      <c r="G141" t="s">
        <v>10</v>
      </c>
      <c r="H141" t="s">
        <v>110</v>
      </c>
      <c r="K141">
        <f>IF(tDatosMaestros[[#This Row],[TIPO PROFESOR]]="HRS", 3,2)</f>
        <v>3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</row>
    <row r="142" spans="1:15" x14ac:dyDescent="0.25">
      <c r="A142" s="1">
        <v>6327</v>
      </c>
      <c r="B142" s="8" t="str">
        <f>"Nombre maestro "&amp;tDatosMaestros[[#This Row],[NO_CONTROL]]</f>
        <v>Nombre maestro 6327</v>
      </c>
      <c r="C142" s="8" t="s">
        <v>42</v>
      </c>
      <c r="D142" s="1">
        <v>5</v>
      </c>
      <c r="E142" s="1" t="s">
        <v>16</v>
      </c>
      <c r="F142" t="s">
        <v>9</v>
      </c>
      <c r="G142" t="s">
        <v>10</v>
      </c>
      <c r="H142" t="s">
        <v>110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</row>
    <row r="143" spans="1:15" x14ac:dyDescent="0.25">
      <c r="A143" s="1">
        <v>6327</v>
      </c>
      <c r="B143" s="8" t="str">
        <f>"Nombre maestro "&amp;tDatosMaestros[[#This Row],[NO_CONTROL]]</f>
        <v>Nombre maestro 6327</v>
      </c>
      <c r="C143" s="8" t="s">
        <v>42</v>
      </c>
      <c r="D143" s="1">
        <v>5</v>
      </c>
      <c r="E143" s="1" t="s">
        <v>8</v>
      </c>
      <c r="F143" t="s">
        <v>9</v>
      </c>
      <c r="G143" t="s">
        <v>10</v>
      </c>
      <c r="H143" t="s">
        <v>110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2</v>
      </c>
      <c r="O143">
        <v>0</v>
      </c>
    </row>
    <row r="144" spans="1:15" x14ac:dyDescent="0.25">
      <c r="A144" s="1">
        <v>6610</v>
      </c>
      <c r="B144" s="8" t="str">
        <f>"Nombre maestro "&amp;tDatosMaestros[[#This Row],[NO_CONTROL]]</f>
        <v>Nombre maestro 6610</v>
      </c>
      <c r="C144" s="8" t="s">
        <v>49</v>
      </c>
      <c r="D144" s="1">
        <v>5</v>
      </c>
      <c r="E144" s="1" t="s">
        <v>28</v>
      </c>
      <c r="F144" t="s">
        <v>9</v>
      </c>
      <c r="G144" t="s">
        <v>10</v>
      </c>
      <c r="H144" t="s">
        <v>114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</row>
    <row r="145" spans="1:15" x14ac:dyDescent="0.25">
      <c r="A145" s="1">
        <v>6610</v>
      </c>
      <c r="B145" s="8" t="str">
        <f>"Nombre maestro "&amp;tDatosMaestros[[#This Row],[NO_CONTROL]]</f>
        <v>Nombre maestro 6610</v>
      </c>
      <c r="C145" s="8" t="s">
        <v>49</v>
      </c>
      <c r="D145" s="1">
        <v>5</v>
      </c>
      <c r="E145" s="1" t="s">
        <v>29</v>
      </c>
      <c r="F145" t="s">
        <v>9</v>
      </c>
      <c r="G145" t="s">
        <v>10</v>
      </c>
      <c r="H145" t="s">
        <v>114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</row>
    <row r="146" spans="1:15" x14ac:dyDescent="0.25">
      <c r="A146" s="1">
        <v>6610</v>
      </c>
      <c r="B146" s="8" t="str">
        <f>"Nombre maestro "&amp;tDatosMaestros[[#This Row],[NO_CONTROL]]</f>
        <v>Nombre maestro 6610</v>
      </c>
      <c r="C146" s="8" t="s">
        <v>49</v>
      </c>
      <c r="D146" s="1">
        <v>5</v>
      </c>
      <c r="E146" s="1" t="s">
        <v>47</v>
      </c>
      <c r="F146" t="s">
        <v>9</v>
      </c>
      <c r="G146" t="s">
        <v>10</v>
      </c>
      <c r="H146" t="s">
        <v>114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</row>
    <row r="147" spans="1:15" x14ac:dyDescent="0.25">
      <c r="A147" s="1">
        <v>6610</v>
      </c>
      <c r="B147" s="8" t="str">
        <f>"Nombre maestro "&amp;tDatosMaestros[[#This Row],[NO_CONTROL]]</f>
        <v>Nombre maestro 6610</v>
      </c>
      <c r="C147" s="8" t="s">
        <v>49</v>
      </c>
      <c r="D147" s="1">
        <v>5</v>
      </c>
      <c r="E147" s="1" t="s">
        <v>48</v>
      </c>
      <c r="F147" t="s">
        <v>9</v>
      </c>
      <c r="G147" t="s">
        <v>10</v>
      </c>
      <c r="H147" t="s">
        <v>114</v>
      </c>
      <c r="K147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</row>
    <row r="148" spans="1:15" x14ac:dyDescent="0.25">
      <c r="A148" s="1">
        <v>6610</v>
      </c>
      <c r="B148" s="8" t="str">
        <f>"Nombre maestro "&amp;tDatosMaestros[[#This Row],[NO_CONTROL]]</f>
        <v>Nombre maestro 6610</v>
      </c>
      <c r="C148" s="8" t="s">
        <v>11</v>
      </c>
      <c r="D148" s="1">
        <v>4</v>
      </c>
      <c r="E148" s="1" t="s">
        <v>17</v>
      </c>
      <c r="F148" t="s">
        <v>9</v>
      </c>
      <c r="G148" t="s">
        <v>10</v>
      </c>
      <c r="H148" t="s">
        <v>99</v>
      </c>
      <c r="K148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</row>
    <row r="149" spans="1:15" x14ac:dyDescent="0.25">
      <c r="A149" s="1">
        <v>6610</v>
      </c>
      <c r="B149" s="8" t="str">
        <f>"Nombre maestro "&amp;tDatosMaestros[[#This Row],[NO_CONTROL]]</f>
        <v>Nombre maestro 6610</v>
      </c>
      <c r="C149" s="8" t="s">
        <v>11</v>
      </c>
      <c r="D149" s="1">
        <v>4</v>
      </c>
      <c r="E149" s="1" t="s">
        <v>18</v>
      </c>
      <c r="F149" t="s">
        <v>9</v>
      </c>
      <c r="G149" t="s">
        <v>10</v>
      </c>
      <c r="H149" t="s">
        <v>99</v>
      </c>
      <c r="K149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</row>
    <row r="150" spans="1:15" x14ac:dyDescent="0.25">
      <c r="A150" s="1">
        <v>6610</v>
      </c>
      <c r="B150" s="8" t="str">
        <f>"Nombre maestro "&amp;tDatosMaestros[[#This Row],[NO_CONTROL]]</f>
        <v>Nombre maestro 6610</v>
      </c>
      <c r="C150" s="8" t="s">
        <v>11</v>
      </c>
      <c r="D150" s="1">
        <v>4</v>
      </c>
      <c r="E150" s="1" t="s">
        <v>43</v>
      </c>
      <c r="F150" t="s">
        <v>9</v>
      </c>
      <c r="G150" t="s">
        <v>10</v>
      </c>
      <c r="H150" t="s">
        <v>99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</row>
    <row r="151" spans="1:15" x14ac:dyDescent="0.25">
      <c r="A151" s="1">
        <v>6783</v>
      </c>
      <c r="B151" s="8" t="str">
        <f>"Nombre maestro "&amp;tDatosMaestros[[#This Row],[NO_CONTROL]]</f>
        <v>Nombre maestro 6783</v>
      </c>
      <c r="C151" s="8" t="s">
        <v>45</v>
      </c>
      <c r="D151" s="1">
        <v>4</v>
      </c>
      <c r="E151" s="1" t="s">
        <v>16</v>
      </c>
      <c r="F151" t="s">
        <v>9</v>
      </c>
      <c r="G151" t="s">
        <v>10</v>
      </c>
      <c r="H151" t="s">
        <v>112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</row>
    <row r="152" spans="1:15" x14ac:dyDescent="0.25">
      <c r="A152" s="1">
        <v>6783</v>
      </c>
      <c r="B152" s="8" t="str">
        <f>"Nombre maestro "&amp;tDatosMaestros[[#This Row],[NO_CONTROL]]</f>
        <v>Nombre maestro 6783</v>
      </c>
      <c r="C152" s="8" t="s">
        <v>45</v>
      </c>
      <c r="D152" s="1">
        <v>4</v>
      </c>
      <c r="E152" s="1" t="s">
        <v>8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</row>
    <row r="153" spans="1:15" x14ac:dyDescent="0.25">
      <c r="A153" s="1">
        <v>6783</v>
      </c>
      <c r="B153" s="8" t="str">
        <f>"Nombre maestro "&amp;tDatosMaestros[[#This Row],[NO_CONTROL]]</f>
        <v>Nombre maestro 6783</v>
      </c>
      <c r="C153" s="8" t="s">
        <v>45</v>
      </c>
      <c r="D153" s="1">
        <v>4</v>
      </c>
      <c r="E153" s="1" t="s">
        <v>17</v>
      </c>
      <c r="F153" t="s">
        <v>9</v>
      </c>
      <c r="G153" t="s">
        <v>10</v>
      </c>
      <c r="H153" t="s">
        <v>112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</row>
    <row r="154" spans="1:15" x14ac:dyDescent="0.25">
      <c r="A154" s="1">
        <v>6783</v>
      </c>
      <c r="B154" s="8" t="str">
        <f>"Nombre maestro "&amp;tDatosMaestros[[#This Row],[NO_CONTROL]]</f>
        <v>Nombre maestro 6783</v>
      </c>
      <c r="C154" s="8" t="s">
        <v>45</v>
      </c>
      <c r="D154" s="1">
        <v>4</v>
      </c>
      <c r="E154" s="1" t="s">
        <v>18</v>
      </c>
      <c r="F154" t="s">
        <v>9</v>
      </c>
      <c r="G154" t="s">
        <v>10</v>
      </c>
      <c r="H154" t="s">
        <v>112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</row>
    <row r="155" spans="1:15" x14ac:dyDescent="0.25">
      <c r="A155" s="1">
        <v>6783</v>
      </c>
      <c r="B155" s="8" t="str">
        <f>"Nombre maestro "&amp;tDatosMaestros[[#This Row],[NO_CONTROL]]</f>
        <v>Nombre maestro 6783</v>
      </c>
      <c r="C155" s="8" t="s">
        <v>45</v>
      </c>
      <c r="D155" s="1">
        <v>4</v>
      </c>
      <c r="E155" s="1" t="s">
        <v>43</v>
      </c>
      <c r="F155" t="s">
        <v>9</v>
      </c>
      <c r="G155" t="s">
        <v>10</v>
      </c>
      <c r="H155" t="s">
        <v>112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</row>
    <row r="156" spans="1:15" x14ac:dyDescent="0.25">
      <c r="A156" s="1">
        <v>6784</v>
      </c>
      <c r="B156" s="8" t="str">
        <f>"Nombre maestro "&amp;tDatosMaestros[[#This Row],[NO_CONTROL]]</f>
        <v>Nombre maestro 6784</v>
      </c>
      <c r="C156" s="8" t="s">
        <v>42</v>
      </c>
      <c r="D156" s="1">
        <v>5</v>
      </c>
      <c r="E156" s="1" t="s">
        <v>18</v>
      </c>
      <c r="F156" t="s">
        <v>9</v>
      </c>
      <c r="G156" t="s">
        <v>10</v>
      </c>
      <c r="H156" t="s">
        <v>110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</row>
    <row r="157" spans="1:15" x14ac:dyDescent="0.25">
      <c r="A157" s="1">
        <v>6784</v>
      </c>
      <c r="B157" s="8" t="str">
        <f>"Nombre maestro "&amp;tDatosMaestros[[#This Row],[NO_CONTROL]]</f>
        <v>Nombre maestro 6784</v>
      </c>
      <c r="C157" s="8" t="s">
        <v>42</v>
      </c>
      <c r="D157" s="1">
        <v>5</v>
      </c>
      <c r="E157" s="1" t="s">
        <v>43</v>
      </c>
      <c r="F157" t="s">
        <v>9</v>
      </c>
      <c r="G157" t="s">
        <v>10</v>
      </c>
      <c r="H157" t="s">
        <v>110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</row>
    <row r="158" spans="1:15" x14ac:dyDescent="0.25">
      <c r="A158" s="5">
        <v>7146</v>
      </c>
      <c r="B158" s="10" t="str">
        <f>"Nombre maestro "&amp;tDatosMaestros[[#This Row],[NO_CONTROL]]</f>
        <v>Nombre maestro 7146</v>
      </c>
      <c r="C158" s="10" t="s">
        <v>19</v>
      </c>
      <c r="D158" s="5">
        <v>4</v>
      </c>
      <c r="E158" s="5" t="s">
        <v>12</v>
      </c>
      <c r="F158" s="6" t="s">
        <v>9</v>
      </c>
      <c r="G158" s="6" t="s">
        <v>50</v>
      </c>
      <c r="H158" t="s">
        <v>102</v>
      </c>
      <c r="K158">
        <f>IF(tDatosMaestros[[#This Row],[TIPO PROFESOR]]="HRS", 3,2)</f>
        <v>2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</row>
    <row r="159" spans="1:15" x14ac:dyDescent="0.25">
      <c r="A159" s="1">
        <v>7457</v>
      </c>
      <c r="B159" s="8" t="str">
        <f>"Nombre maestro "&amp;tDatosMaestros[[#This Row],[NO_CONTROL]]</f>
        <v>Nombre maestro 7457</v>
      </c>
      <c r="C159" s="8" t="s">
        <v>55</v>
      </c>
      <c r="D159" s="1">
        <v>4</v>
      </c>
      <c r="E159" s="1" t="s">
        <v>29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</row>
    <row r="160" spans="1:15" x14ac:dyDescent="0.25">
      <c r="A160" s="1">
        <v>7457</v>
      </c>
      <c r="B160" s="8" t="str">
        <f>"Nombre maestro "&amp;tDatosMaestros[[#This Row],[NO_CONTROL]]</f>
        <v>Nombre maestro 7457</v>
      </c>
      <c r="C160" s="8" t="s">
        <v>55</v>
      </c>
      <c r="D160" s="1">
        <v>4</v>
      </c>
      <c r="E160" s="1" t="s">
        <v>48</v>
      </c>
      <c r="F160" t="s">
        <v>9</v>
      </c>
      <c r="G160" t="s">
        <v>10</v>
      </c>
      <c r="H160" t="s">
        <v>123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</row>
    <row r="161" spans="1:15" x14ac:dyDescent="0.25">
      <c r="A161" s="1">
        <v>7542</v>
      </c>
      <c r="B161" s="8" t="str">
        <f>"Nombre maestro "&amp;tDatosMaestros[[#This Row],[NO_CONTROL]]</f>
        <v>Nombre maestro 7542</v>
      </c>
      <c r="C161" s="8" t="s">
        <v>19</v>
      </c>
      <c r="D161" s="1">
        <v>4</v>
      </c>
      <c r="E161" s="1" t="s">
        <v>30</v>
      </c>
      <c r="F161" t="s">
        <v>9</v>
      </c>
      <c r="G161" t="s">
        <v>10</v>
      </c>
      <c r="H161" t="s">
        <v>102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</row>
    <row r="162" spans="1:15" x14ac:dyDescent="0.25">
      <c r="A162" s="1">
        <v>7542</v>
      </c>
      <c r="B162" s="8" t="str">
        <f>"Nombre maestro "&amp;tDatosMaestros[[#This Row],[NO_CONTROL]]</f>
        <v>Nombre maestro 7542</v>
      </c>
      <c r="C162" s="8" t="s">
        <v>55</v>
      </c>
      <c r="D162" s="1">
        <v>4</v>
      </c>
      <c r="E162" s="1" t="s">
        <v>47</v>
      </c>
      <c r="F162" t="s">
        <v>9</v>
      </c>
      <c r="G162" t="s">
        <v>10</v>
      </c>
      <c r="H162" t="s">
        <v>123</v>
      </c>
      <c r="K162">
        <f>IF(tDatosMaestros[[#This Row],[TIPO PROFESOR]]="HRS", 3,2)</f>
        <v>3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</row>
    <row r="163" spans="1:15" x14ac:dyDescent="0.25">
      <c r="A163" s="1" t="s">
        <v>74</v>
      </c>
      <c r="B163" s="8" t="str">
        <f>"Nombre maestro "&amp;tDatosMaestros[[#This Row],[NO_CONTROL]]</f>
        <v>Nombre maestro LGRA</v>
      </c>
      <c r="C163" s="8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</row>
  </sheetData>
  <sortState ref="A2:H192">
    <sortCondition ref="G2:G192" customList="HRS,PTC,Coordinadora"/>
  </sortState>
  <conditionalFormatting sqref="N1:N1048576">
    <cfRule type="cellIs" dxfId="11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B12" sqref="B12"/>
    </sheetView>
  </sheetViews>
  <sheetFormatPr baseColWidth="10" defaultRowHeight="15" x14ac:dyDescent="0.25"/>
  <cols>
    <col min="1" max="1" width="47.85546875" customWidth="1"/>
    <col min="2" max="2" width="18.5703125" customWidth="1"/>
    <col min="3" max="3" width="15.42578125" customWidth="1"/>
    <col min="4" max="4" width="14.5703125" customWidth="1"/>
    <col min="7" max="7" width="17.8554687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7" t="s">
        <v>168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169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7" t="s">
        <v>170</v>
      </c>
      <c r="H4" t="s">
        <v>160</v>
      </c>
    </row>
    <row r="5" spans="1:8" x14ac:dyDescent="0.25">
      <c r="A5" s="8" t="s">
        <v>62</v>
      </c>
      <c r="B5">
        <v>2</v>
      </c>
      <c r="C5" t="s">
        <v>147</v>
      </c>
      <c r="G5" s="7" t="s">
        <v>171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7" t="s">
        <v>172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7" t="s">
        <v>173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4"/>
  <sheetViews>
    <sheetView workbookViewId="0">
      <selection activeCell="G8" sqref="G8"/>
    </sheetView>
  </sheetViews>
  <sheetFormatPr baseColWidth="10" defaultRowHeight="15" x14ac:dyDescent="0.25"/>
  <cols>
    <col min="1" max="1" width="15.7109375" customWidth="1"/>
    <col min="2" max="2" width="18.140625" customWidth="1"/>
  </cols>
  <sheetData>
    <row r="1" spans="1:6" ht="26.25" customHeight="1" x14ac:dyDescent="0.25">
      <c r="A1" s="36" t="s">
        <v>75</v>
      </c>
      <c r="B1" s="36"/>
      <c r="C1" s="36"/>
      <c r="D1" s="36"/>
      <c r="E1" s="36"/>
      <c r="F1" s="36"/>
    </row>
    <row r="2" spans="1:6" ht="26.25" customHeight="1" thickBot="1" x14ac:dyDescent="0.3">
      <c r="A2" s="37" t="s">
        <v>76</v>
      </c>
      <c r="B2" s="37"/>
      <c r="C2" s="37"/>
      <c r="D2" s="37"/>
      <c r="E2" s="37"/>
      <c r="F2" s="37"/>
    </row>
    <row r="3" spans="1:6" ht="26.25" customHeight="1" thickTop="1" thickBot="1" x14ac:dyDescent="0.3">
      <c r="A3" s="34"/>
      <c r="B3" s="34"/>
      <c r="C3" s="34"/>
      <c r="D3" s="34"/>
      <c r="E3" s="34"/>
      <c r="F3" s="34"/>
    </row>
    <row r="4" spans="1:6" ht="15.75" thickTop="1" x14ac:dyDescent="0.25">
      <c r="A4" t="s">
        <v>174</v>
      </c>
      <c r="B4" t="s">
        <v>176</v>
      </c>
      <c r="C4" t="s">
        <v>142</v>
      </c>
      <c r="D4" t="s">
        <v>175</v>
      </c>
      <c r="E4" t="s">
        <v>177</v>
      </c>
      <c r="F4" t="s">
        <v>178</v>
      </c>
    </row>
  </sheetData>
  <mergeCells count="2">
    <mergeCell ref="A1:F1"/>
    <mergeCell ref="A2:F2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="75" zoomScaleNormal="75" workbookViewId="0">
      <selection activeCell="A5" sqref="A5"/>
    </sheetView>
  </sheetViews>
  <sheetFormatPr baseColWidth="10" defaultRowHeight="15" x14ac:dyDescent="0.25"/>
  <cols>
    <col min="1" max="1" width="13.28515625" customWidth="1"/>
    <col min="2" max="6" width="23.140625" customWidth="1"/>
    <col min="7" max="7" width="2" customWidth="1"/>
  </cols>
  <sheetData>
    <row r="1" spans="1:6" ht="26.25" customHeight="1" x14ac:dyDescent="0.25">
      <c r="A1" s="36" t="s">
        <v>75</v>
      </c>
      <c r="B1" s="36"/>
      <c r="C1" s="36"/>
      <c r="D1" s="36"/>
      <c r="E1" s="36"/>
      <c r="F1" s="36"/>
    </row>
    <row r="2" spans="1:6" ht="26.25" customHeight="1" thickBot="1" x14ac:dyDescent="0.3">
      <c r="A2" s="37" t="s">
        <v>76</v>
      </c>
      <c r="B2" s="37"/>
      <c r="C2" s="37"/>
      <c r="D2" s="37"/>
      <c r="E2" s="37"/>
      <c r="F2" s="37"/>
    </row>
    <row r="3" spans="1:6" ht="26.25" customHeight="1" thickTop="1" thickBot="1" x14ac:dyDescent="0.3">
      <c r="A3" s="38" t="s">
        <v>91</v>
      </c>
      <c r="B3" s="38"/>
      <c r="C3" s="38"/>
      <c r="D3" s="38"/>
      <c r="E3" s="38"/>
      <c r="F3" s="38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/>
      <c r="C7" s="27"/>
      <c r="D7" s="27"/>
      <c r="E7" s="27"/>
      <c r="F7" s="28"/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/>
      <c r="C10" s="35"/>
      <c r="D10" s="27"/>
      <c r="E10" s="27"/>
      <c r="F10" s="28"/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/>
      <c r="C13" s="27"/>
      <c r="D13" s="27"/>
      <c r="E13" s="27"/>
      <c r="F13" s="28"/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/>
      <c r="C16" s="27"/>
      <c r="D16" s="27"/>
      <c r="E16" s="27"/>
      <c r="F16" s="28"/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F4" sqref="B1:F1048576"/>
    </sheetView>
  </sheetViews>
  <sheetFormatPr baseColWidth="10" defaultRowHeight="15" x14ac:dyDescent="0.25"/>
  <cols>
    <col min="1" max="1" width="34.7109375" customWidth="1"/>
    <col min="2" max="6" width="23.140625" customWidth="1"/>
  </cols>
  <sheetData>
    <row r="1" spans="1:6" ht="22.5" x14ac:dyDescent="0.25">
      <c r="A1" s="36" t="s">
        <v>75</v>
      </c>
      <c r="B1" s="36"/>
      <c r="C1" s="36"/>
      <c r="D1" s="36"/>
      <c r="E1" s="36"/>
      <c r="F1" s="36"/>
    </row>
    <row r="2" spans="1:6" ht="20.25" thickBot="1" x14ac:dyDescent="0.3">
      <c r="A2" s="37" t="s">
        <v>76</v>
      </c>
      <c r="B2" s="37"/>
      <c r="C2" s="37"/>
      <c r="D2" s="37"/>
      <c r="E2" s="37"/>
      <c r="F2" s="37"/>
    </row>
    <row r="3" spans="1:6" ht="15" customHeight="1" thickTop="1" thickBot="1" x14ac:dyDescent="0.3">
      <c r="A3" s="38" t="s">
        <v>91</v>
      </c>
      <c r="B3" s="38"/>
      <c r="C3" s="38"/>
      <c r="D3" s="38"/>
      <c r="E3" s="38"/>
      <c r="F3" s="38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 t="s">
        <v>97</v>
      </c>
      <c r="C7" s="27" t="s">
        <v>97</v>
      </c>
      <c r="D7" s="27" t="s">
        <v>97</v>
      </c>
      <c r="E7" s="27" t="s">
        <v>97</v>
      </c>
      <c r="F7" s="28" t="s">
        <v>97</v>
      </c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 t="s">
        <v>97</v>
      </c>
      <c r="C10" s="31" t="s">
        <v>97</v>
      </c>
      <c r="D10" s="27" t="s">
        <v>97</v>
      </c>
      <c r="E10" s="27" t="s">
        <v>97</v>
      </c>
      <c r="F10" s="28" t="s">
        <v>97</v>
      </c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 t="s">
        <v>97</v>
      </c>
      <c r="C13" s="27" t="s">
        <v>97</v>
      </c>
      <c r="D13" s="27" t="s">
        <v>97</v>
      </c>
      <c r="E13" s="27" t="s">
        <v>97</v>
      </c>
      <c r="F13" s="28" t="s">
        <v>97</v>
      </c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 t="s">
        <v>97</v>
      </c>
      <c r="C16" s="27" t="s">
        <v>97</v>
      </c>
      <c r="D16" s="27" t="s">
        <v>97</v>
      </c>
      <c r="E16" s="27" t="s">
        <v>97</v>
      </c>
      <c r="F16" s="28" t="s">
        <v>97</v>
      </c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Maestros</vt:lpstr>
      <vt:lpstr>Laboratorio</vt:lpstr>
      <vt:lpstr>Plantilla_ListaAsistencia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2013-12-09T05:09:54Z</cp:lastPrinted>
  <dcterms:created xsi:type="dcterms:W3CDTF">2013-08-30T16:26:02Z</dcterms:created>
  <dcterms:modified xsi:type="dcterms:W3CDTF">2014-01-03T05:59:41Z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